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loic/Documents/Coding_projects/metroloshiny/example_files/"/>
    </mc:Choice>
  </mc:AlternateContent>
  <xr:revisionPtr revIDLastSave="0" documentId="13_ncr:1_{B9DB6827-A55B-9E45-9400-F22B51D63667}" xr6:coauthVersionLast="47" xr6:coauthVersionMax="47" xr10:uidLastSave="{00000000-0000-0000-0000-000000000000}"/>
  <bookViews>
    <workbookView xWindow="29320" yWindow="10860" windowWidth="29620" windowHeight="21640" activeTab="2" xr2:uid="{00000000-000D-0000-FFFF-FFFF00000000}"/>
  </bookViews>
  <sheets>
    <sheet name="laser_power_measurements" sheetId="1" r:id="rId1"/>
    <sheet name="psf_measurements" sheetId="2" r:id="rId2"/>
    <sheet name="field_dist_uni" sheetId="4" r:id="rId3"/>
    <sheet name="objective_d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2" i="2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</calcChain>
</file>

<file path=xl/sharedStrings.xml><?xml version="1.0" encoding="utf-8"?>
<sst xmlns="http://schemas.openxmlformats.org/spreadsheetml/2006/main" count="714" uniqueCount="109">
  <si>
    <t>Site</t>
  </si>
  <si>
    <t>Microscope</t>
  </si>
  <si>
    <t>Objective</t>
  </si>
  <si>
    <t>Info</t>
  </si>
  <si>
    <t>Laser Line [nm]</t>
  </si>
  <si>
    <t>LED Line [nm]</t>
  </si>
  <si>
    <t>Power [%]</t>
  </si>
  <si>
    <t>Hebelstrasse</t>
  </si>
  <si>
    <t>Ti2 BSL2</t>
  </si>
  <si>
    <t>10x/0,45</t>
  </si>
  <si>
    <t>Multibandpass</t>
  </si>
  <si>
    <t>Ti CSU-W1</t>
  </si>
  <si>
    <t>20x/0,75</t>
  </si>
  <si>
    <t>50um disk</t>
  </si>
  <si>
    <t>0.00252 (thats baseline, ie = ambient light)</t>
  </si>
  <si>
    <t>0.51 (flickering)</t>
  </si>
  <si>
    <t>5.9 (flickering)</t>
  </si>
  <si>
    <t>Mattenstrasse</t>
  </si>
  <si>
    <t>Channel</t>
  </si>
  <si>
    <t>FWHM</t>
  </si>
  <si>
    <t>Example-Entry</t>
  </si>
  <si>
    <t>20x/3.3</t>
  </si>
  <si>
    <t>Pinhole closed</t>
  </si>
  <si>
    <t>DAPI</t>
  </si>
  <si>
    <t>FWHM-X</t>
  </si>
  <si>
    <t>FWHM-Y</t>
  </si>
  <si>
    <t>FWHM-Z</t>
  </si>
  <si>
    <t>GFP</t>
  </si>
  <si>
    <t>Cy3</t>
  </si>
  <si>
    <t>Cy5</t>
  </si>
  <si>
    <t>Pinhole open</t>
  </si>
  <si>
    <t>Mic1</t>
  </si>
  <si>
    <t>Mic2</t>
  </si>
  <si>
    <t>10x/1.1</t>
  </si>
  <si>
    <t>Mic3</t>
  </si>
  <si>
    <t>Mic4</t>
  </si>
  <si>
    <t>20100101-2</t>
  </si>
  <si>
    <t>20200101something</t>
  </si>
  <si>
    <t>20190910text</t>
  </si>
  <si>
    <t>20150101-sort</t>
  </si>
  <si>
    <t>no_data</t>
  </si>
  <si>
    <t>Test Entry</t>
  </si>
  <si>
    <t>Shift-X</t>
  </si>
  <si>
    <t>Shift-Y</t>
  </si>
  <si>
    <t>Shift-Z</t>
  </si>
  <si>
    <t>Reference-X</t>
  </si>
  <si>
    <t>Reference-Y</t>
  </si>
  <si>
    <t>Reference-Z</t>
  </si>
  <si>
    <t>ID</t>
  </si>
  <si>
    <t>Name</t>
  </si>
  <si>
    <t>Magnification</t>
  </si>
  <si>
    <t>NA</t>
  </si>
  <si>
    <t>Medium</t>
  </si>
  <si>
    <t>Refractive Index</t>
  </si>
  <si>
    <t>Working Distance [mm]</t>
  </si>
  <si>
    <t>Ph</t>
  </si>
  <si>
    <t>Location</t>
  </si>
  <si>
    <t>Belongs to system</t>
  </si>
  <si>
    <t>Manufacturer</t>
  </si>
  <si>
    <t>Vendor ID</t>
  </si>
  <si>
    <t>Purchase date</t>
  </si>
  <si>
    <t>ID1</t>
  </si>
  <si>
    <t>CFI Plan Apo λ</t>
  </si>
  <si>
    <t>4x</t>
  </si>
  <si>
    <t>Air</t>
  </si>
  <si>
    <t>none</t>
  </si>
  <si>
    <t>on system</t>
  </si>
  <si>
    <t>BSL2</t>
  </si>
  <si>
    <t>Nikon</t>
  </si>
  <si>
    <t>MRD00045</t>
  </si>
  <si>
    <t>10x</t>
  </si>
  <si>
    <t>MRD00105</t>
  </si>
  <si>
    <t>20x</t>
  </si>
  <si>
    <t>MRD00205</t>
  </si>
  <si>
    <t>40x</t>
  </si>
  <si>
    <t>0.25-0-17</t>
  </si>
  <si>
    <t>MRD00405</t>
  </si>
  <si>
    <t>ID5</t>
  </si>
  <si>
    <t>100x</t>
  </si>
  <si>
    <t>Oil</t>
  </si>
  <si>
    <t>EXT Ph4</t>
  </si>
  <si>
    <t>Ti2</t>
  </si>
  <si>
    <t>MRD01905</t>
  </si>
  <si>
    <t>ID19</t>
  </si>
  <si>
    <t>60x</t>
  </si>
  <si>
    <t>EXT Ph3</t>
  </si>
  <si>
    <t>Cupboard</t>
  </si>
  <si>
    <t>CSU-W1</t>
  </si>
  <si>
    <t>MRD01605</t>
  </si>
  <si>
    <t>cupboard</t>
  </si>
  <si>
    <t>ID999</t>
  </si>
  <si>
    <t>Test_microscope</t>
  </si>
  <si>
    <t>Test_63x</t>
  </si>
  <si>
    <t>Test_info</t>
  </si>
  <si>
    <t>omero3454869_ch-1</t>
  </si>
  <si>
    <t>omero3454869_ch-2</t>
  </si>
  <si>
    <t>Alexa 647</t>
  </si>
  <si>
    <t>omero3454869_ch-3</t>
  </si>
  <si>
    <t>omero3454869_ch-0</t>
  </si>
  <si>
    <t>IDN5</t>
  </si>
  <si>
    <t>IDN4</t>
  </si>
  <si>
    <t>IDN1</t>
  </si>
  <si>
    <t>IDN2</t>
  </si>
  <si>
    <t>IDN3</t>
  </si>
  <si>
    <t>ID2</t>
  </si>
  <si>
    <t>ID3</t>
  </si>
  <si>
    <t>ID4</t>
  </si>
  <si>
    <t>Test_microscope2</t>
  </si>
  <si>
    <t>noID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</si>
</sst>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d\.mm"/>
    <numFmt numFmtId="166" formatCode="#,##0.0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2"/>
      <color rgb="FF7030A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2"/>
      <color rgb="FF4472C4"/>
      <name val="Calibri"/>
      <family val="2"/>
    </font>
    <font>
      <sz val="12"/>
      <color rgb="FFFF0000"/>
      <name val="Calibri"/>
      <family val="2"/>
    </font>
    <font>
      <sz val="12"/>
      <color rgb="FFED7D31"/>
      <name val="Calibri"/>
      <family val="2"/>
    </font>
    <font>
      <sz val="12"/>
      <color rgb="FFC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Calibri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right"/>
    </xf>
    <xf numFmtId="164" fontId="6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/>
    <xf numFmtId="164" fontId="8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4" fontId="13" fillId="0" borderId="0" xfId="0" applyNumberFormat="1" applyFont="1"/>
    <xf numFmtId="166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3" fontId="10" fillId="0" borderId="0" xfId="0" applyNumberFormat="1" applyFont="1"/>
    <xf numFmtId="3" fontId="10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2" fontId="6" fillId="0" borderId="0" xfId="0" applyNumberFormat="1" applyFont="1"/>
    <xf numFmtId="0" fontId="15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47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47" sqref="A47"/>
    </sheetView>
  </sheetViews>
  <sheetFormatPr baseColWidth="10" defaultColWidth="12.6640625" defaultRowHeight="15.75" customHeight="1" x14ac:dyDescent="0.15"/>
  <cols>
    <col min="26" max="26" width="13.1640625" customWidth="1"/>
    <col min="30" max="31" width="26" customWidth="1"/>
  </cols>
  <sheetData>
    <row r="1" spans="1:7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38</v>
      </c>
      <c r="I1" s="2">
        <v>20191008</v>
      </c>
      <c r="J1" s="2" t="s">
        <v>39</v>
      </c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4"/>
      <c r="X1" s="3"/>
      <c r="Y1" s="2"/>
      <c r="Z1" s="2"/>
      <c r="AA1" s="4"/>
      <c r="AB1" s="2"/>
      <c r="AC1" s="2"/>
      <c r="AD1" s="2"/>
      <c r="AE1" s="2"/>
      <c r="AF1" s="2"/>
      <c r="AG1" s="2"/>
      <c r="AH1" s="4"/>
      <c r="AI1" s="2"/>
      <c r="AJ1" s="2"/>
      <c r="AK1" s="2"/>
      <c r="AL1" s="4"/>
      <c r="AM1" s="5"/>
      <c r="AN1" s="2"/>
      <c r="AO1" s="2"/>
      <c r="AP1" s="4"/>
      <c r="AQ1" s="2"/>
      <c r="AR1" s="2"/>
      <c r="AS1" s="4"/>
      <c r="AT1" s="2"/>
      <c r="AU1" s="4"/>
      <c r="AV1" s="4"/>
      <c r="AW1" s="4"/>
      <c r="AX1" s="2"/>
      <c r="AY1" s="2"/>
      <c r="AZ1" s="4"/>
      <c r="BA1" s="2"/>
      <c r="BB1" s="2"/>
      <c r="BC1" s="2"/>
      <c r="BD1" s="4"/>
      <c r="BE1" s="2"/>
      <c r="BF1" s="2"/>
      <c r="BG1" s="2"/>
      <c r="BH1" s="2"/>
      <c r="BI1" s="2"/>
      <c r="BJ1" s="4"/>
      <c r="BK1" s="2"/>
      <c r="BL1" s="2"/>
      <c r="BM1" s="2"/>
      <c r="BN1" s="2"/>
      <c r="BO1" s="2"/>
      <c r="BP1" s="4"/>
      <c r="BQ1" s="4"/>
      <c r="BR1" s="2"/>
      <c r="BS1" s="2"/>
      <c r="BT1" s="2"/>
      <c r="BU1" s="2"/>
      <c r="BV1" s="2"/>
      <c r="BW1" s="2"/>
      <c r="BX1" s="2"/>
      <c r="BY1" s="2"/>
      <c r="BZ1" s="2"/>
    </row>
    <row r="2" spans="1:78" ht="16" x14ac:dyDescent="0.2">
      <c r="A2" s="6" t="s">
        <v>7</v>
      </c>
      <c r="B2" s="6" t="s">
        <v>8</v>
      </c>
      <c r="C2" s="6" t="s">
        <v>9</v>
      </c>
      <c r="D2" s="6" t="s">
        <v>10</v>
      </c>
      <c r="F2" s="7">
        <v>395</v>
      </c>
      <c r="G2" s="7">
        <v>5</v>
      </c>
      <c r="H2" s="8">
        <v>8.2899999999999991</v>
      </c>
      <c r="I2" s="8">
        <v>7.63</v>
      </c>
      <c r="J2" s="8">
        <v>7.63</v>
      </c>
      <c r="K2" s="8"/>
      <c r="L2" s="10"/>
      <c r="M2" s="8"/>
      <c r="N2" s="8"/>
      <c r="O2" s="9"/>
      <c r="P2" s="9"/>
      <c r="S2" s="11"/>
      <c r="T2" s="11"/>
      <c r="V2" s="9"/>
      <c r="W2" s="9"/>
      <c r="X2" s="9"/>
      <c r="Y2" s="9"/>
      <c r="Z2" s="9"/>
      <c r="AA2" s="9"/>
      <c r="AB2" s="9"/>
      <c r="AC2" s="12"/>
      <c r="AF2" s="12"/>
      <c r="AG2" s="12"/>
      <c r="AK2" s="12"/>
      <c r="AL2" s="12"/>
      <c r="AM2" s="12"/>
      <c r="AO2" s="12"/>
      <c r="AP2" s="12"/>
      <c r="AQ2" s="12"/>
      <c r="AR2" s="12"/>
      <c r="AY2" s="12"/>
      <c r="BF2" s="9"/>
      <c r="BG2" s="12"/>
      <c r="BH2" s="12"/>
      <c r="BJ2" s="12"/>
      <c r="BK2" s="12"/>
      <c r="BL2" s="9"/>
      <c r="BM2" s="9"/>
      <c r="BN2" s="9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</row>
    <row r="3" spans="1:78" ht="16" x14ac:dyDescent="0.2">
      <c r="A3" s="6" t="s">
        <v>7</v>
      </c>
      <c r="B3" s="6" t="s">
        <v>8</v>
      </c>
      <c r="C3" s="6" t="s">
        <v>9</v>
      </c>
      <c r="D3" s="6" t="s">
        <v>10</v>
      </c>
      <c r="F3" s="7">
        <v>395</v>
      </c>
      <c r="G3" s="7">
        <v>10</v>
      </c>
      <c r="H3" s="8">
        <v>16.600000000000001</v>
      </c>
      <c r="I3" s="8">
        <v>15.8</v>
      </c>
      <c r="J3" s="8">
        <v>15.8</v>
      </c>
      <c r="K3" s="8"/>
      <c r="L3" s="10"/>
      <c r="M3" s="8"/>
      <c r="N3" s="8"/>
      <c r="O3" s="9"/>
      <c r="P3" s="9"/>
      <c r="S3" s="11"/>
      <c r="T3" s="11"/>
      <c r="V3" s="9"/>
      <c r="W3" s="9"/>
      <c r="X3" s="9"/>
      <c r="Y3" s="9"/>
      <c r="Z3" s="9"/>
      <c r="AA3" s="9"/>
      <c r="AB3" s="9"/>
      <c r="AC3" s="11"/>
      <c r="AF3" s="11"/>
      <c r="AG3" s="9"/>
      <c r="AK3" s="9"/>
      <c r="AL3" s="9"/>
      <c r="AM3" s="9"/>
      <c r="AO3" s="9"/>
      <c r="AP3" s="9"/>
      <c r="AQ3" s="9"/>
      <c r="AR3" s="9"/>
      <c r="AY3" s="9"/>
      <c r="BF3" s="9"/>
      <c r="BG3" s="9"/>
      <c r="BH3" s="9"/>
      <c r="BJ3" s="9"/>
      <c r="BK3" s="9"/>
      <c r="BL3" s="11"/>
      <c r="BM3" s="11"/>
      <c r="BN3" s="11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</row>
    <row r="4" spans="1:78" ht="16" x14ac:dyDescent="0.2">
      <c r="A4" s="6" t="s">
        <v>7</v>
      </c>
      <c r="B4" s="6" t="s">
        <v>8</v>
      </c>
      <c r="C4" s="6" t="s">
        <v>9</v>
      </c>
      <c r="D4" s="6" t="s">
        <v>10</v>
      </c>
      <c r="F4" s="7">
        <v>395</v>
      </c>
      <c r="G4" s="7">
        <v>50</v>
      </c>
      <c r="H4" s="8">
        <v>81.5</v>
      </c>
      <c r="I4" s="8">
        <v>79.5</v>
      </c>
      <c r="J4" s="8">
        <v>79.5</v>
      </c>
      <c r="K4" s="8"/>
      <c r="L4" s="10"/>
      <c r="M4" s="8"/>
      <c r="N4" s="8"/>
      <c r="O4" s="9"/>
      <c r="P4" s="9"/>
      <c r="S4" s="9"/>
      <c r="T4" s="9"/>
      <c r="V4" s="9"/>
      <c r="W4" s="9"/>
      <c r="X4" s="9"/>
      <c r="Y4" s="9"/>
      <c r="Z4" s="9"/>
      <c r="AA4" s="9"/>
      <c r="AB4" s="9"/>
      <c r="AC4" s="9"/>
      <c r="AF4" s="9"/>
      <c r="AG4" s="9"/>
      <c r="AK4" s="9"/>
      <c r="AL4" s="9"/>
      <c r="AM4" s="9"/>
      <c r="AO4" s="9"/>
      <c r="AP4" s="9"/>
      <c r="AQ4" s="9"/>
      <c r="AR4" s="9"/>
      <c r="AY4" s="9"/>
      <c r="BF4" s="11"/>
      <c r="BG4" s="11"/>
      <c r="BH4" s="11"/>
      <c r="BJ4" s="9"/>
      <c r="BK4" s="9"/>
      <c r="BL4" s="9"/>
      <c r="BM4" s="9"/>
      <c r="BN4" s="9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</row>
    <row r="5" spans="1:78" ht="16" x14ac:dyDescent="0.2">
      <c r="A5" s="6" t="s">
        <v>7</v>
      </c>
      <c r="B5" s="6" t="s">
        <v>8</v>
      </c>
      <c r="C5" s="6" t="s">
        <v>9</v>
      </c>
      <c r="D5" s="6" t="s">
        <v>10</v>
      </c>
      <c r="F5" s="7">
        <v>395</v>
      </c>
      <c r="G5" s="7">
        <v>90</v>
      </c>
      <c r="H5" s="8">
        <v>146</v>
      </c>
      <c r="I5" s="8">
        <v>143</v>
      </c>
      <c r="J5" s="8">
        <v>143</v>
      </c>
      <c r="K5" s="8"/>
      <c r="L5" s="10"/>
      <c r="M5" s="8"/>
      <c r="N5" s="8"/>
      <c r="O5" s="9"/>
      <c r="P5" s="9"/>
      <c r="S5" s="9"/>
      <c r="T5" s="9"/>
      <c r="V5" s="9"/>
      <c r="W5" s="9"/>
      <c r="X5" s="9"/>
      <c r="Y5" s="9"/>
      <c r="Z5" s="9"/>
      <c r="AA5" s="9"/>
      <c r="AB5" s="9"/>
      <c r="AC5" s="9"/>
      <c r="AF5" s="9"/>
      <c r="AG5" s="9"/>
      <c r="AK5" s="9"/>
      <c r="AL5" s="12"/>
      <c r="AM5" s="12"/>
      <c r="AO5" s="12"/>
      <c r="AP5" s="12"/>
      <c r="AQ5" s="12"/>
      <c r="AR5" s="12"/>
      <c r="AY5" s="12"/>
      <c r="BF5" s="14"/>
      <c r="BG5" s="14"/>
      <c r="BH5" s="14"/>
      <c r="BJ5" s="9"/>
      <c r="BK5" s="9"/>
      <c r="BL5" s="12"/>
      <c r="BM5" s="12"/>
      <c r="BN5" s="12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</row>
    <row r="6" spans="1:78" ht="16" x14ac:dyDescent="0.2">
      <c r="A6" s="6" t="s">
        <v>7</v>
      </c>
      <c r="B6" s="6" t="s">
        <v>8</v>
      </c>
      <c r="C6" s="6" t="s">
        <v>9</v>
      </c>
      <c r="D6" s="6" t="s">
        <v>10</v>
      </c>
      <c r="F6" s="7">
        <v>395</v>
      </c>
      <c r="G6" s="7">
        <v>100</v>
      </c>
      <c r="H6" s="8">
        <v>162</v>
      </c>
      <c r="I6" s="8">
        <v>159</v>
      </c>
      <c r="J6" s="8">
        <v>159</v>
      </c>
      <c r="K6" s="8"/>
      <c r="L6" s="16"/>
      <c r="M6" s="8"/>
      <c r="N6" s="8"/>
      <c r="O6" s="9"/>
      <c r="P6" s="9"/>
      <c r="S6" s="9"/>
      <c r="T6" s="9"/>
      <c r="V6" s="9"/>
      <c r="W6" s="9"/>
      <c r="X6" s="9"/>
      <c r="Y6" s="9"/>
      <c r="Z6" s="9"/>
      <c r="AA6" s="9"/>
      <c r="AB6" s="9"/>
      <c r="AC6" s="9"/>
      <c r="AF6" s="9"/>
      <c r="AG6" s="9"/>
      <c r="AK6" s="9"/>
      <c r="AL6" s="12"/>
      <c r="AM6" s="12"/>
      <c r="AO6" s="12"/>
      <c r="AP6" s="12"/>
      <c r="AQ6" s="12"/>
      <c r="AR6" s="12"/>
      <c r="AY6" s="12"/>
      <c r="BF6" s="12"/>
      <c r="BG6" s="12"/>
      <c r="BH6" s="12"/>
      <c r="BJ6" s="12"/>
      <c r="BK6" s="12"/>
      <c r="BL6" s="12"/>
      <c r="BM6" s="12"/>
      <c r="BN6" s="12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</row>
    <row r="7" spans="1:78" ht="16" x14ac:dyDescent="0.2">
      <c r="A7" s="6" t="s">
        <v>7</v>
      </c>
      <c r="B7" s="6" t="s">
        <v>8</v>
      </c>
      <c r="C7" s="6" t="s">
        <v>9</v>
      </c>
      <c r="D7" s="6" t="s">
        <v>10</v>
      </c>
      <c r="F7" s="17">
        <v>475</v>
      </c>
      <c r="G7" s="17">
        <v>5</v>
      </c>
      <c r="H7" s="8">
        <v>12.5</v>
      </c>
      <c r="I7" s="8">
        <v>10.5</v>
      </c>
      <c r="J7" s="8">
        <v>10.5</v>
      </c>
      <c r="K7" s="8"/>
      <c r="M7" s="8"/>
      <c r="N7" s="8"/>
      <c r="O7" s="9"/>
      <c r="P7" s="9"/>
      <c r="S7" s="9"/>
      <c r="T7" s="9"/>
      <c r="V7" s="9"/>
      <c r="W7" s="9"/>
      <c r="X7" s="9"/>
      <c r="Y7" s="9"/>
      <c r="Z7" s="9"/>
      <c r="AA7" s="9"/>
      <c r="AB7" s="9"/>
      <c r="AC7" s="12"/>
      <c r="AF7" s="14"/>
      <c r="AG7" s="12"/>
      <c r="AK7" s="14"/>
      <c r="AL7" s="12"/>
      <c r="AM7" s="12"/>
      <c r="AO7" s="12"/>
      <c r="AP7" s="12"/>
      <c r="AQ7" s="12"/>
      <c r="AR7" s="12"/>
      <c r="AY7" s="12"/>
      <c r="BF7" s="12"/>
      <c r="BG7" s="12"/>
      <c r="BH7" s="12"/>
      <c r="BJ7" s="18"/>
      <c r="BK7" s="18"/>
      <c r="BL7" s="9"/>
      <c r="BM7" s="9"/>
      <c r="BN7" s="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</row>
    <row r="8" spans="1:78" ht="16" x14ac:dyDescent="0.2">
      <c r="A8" s="6" t="s">
        <v>7</v>
      </c>
      <c r="B8" s="6" t="s">
        <v>8</v>
      </c>
      <c r="C8" s="6" t="s">
        <v>9</v>
      </c>
      <c r="D8" s="6" t="s">
        <v>10</v>
      </c>
      <c r="F8" s="17">
        <v>475</v>
      </c>
      <c r="G8" s="17">
        <v>10</v>
      </c>
      <c r="H8" s="8">
        <v>24.5</v>
      </c>
      <c r="I8" s="8">
        <v>22.5</v>
      </c>
      <c r="J8" s="8">
        <v>22.5</v>
      </c>
      <c r="K8" s="8"/>
      <c r="M8" s="8"/>
      <c r="N8" s="8"/>
      <c r="O8" s="9"/>
      <c r="P8" s="11"/>
      <c r="S8" s="11"/>
      <c r="T8" s="11"/>
      <c r="V8" s="11"/>
      <c r="W8" s="11"/>
      <c r="X8" s="11"/>
      <c r="Y8" s="11"/>
      <c r="Z8" s="11"/>
      <c r="AA8" s="11"/>
      <c r="AB8" s="11"/>
      <c r="AC8" s="11"/>
      <c r="AF8" s="11"/>
      <c r="AG8" s="11"/>
      <c r="AK8" s="11"/>
      <c r="AL8" s="11"/>
      <c r="AM8" s="11"/>
      <c r="AO8" s="11"/>
      <c r="AP8" s="11"/>
      <c r="AQ8" s="11"/>
      <c r="AR8" s="11"/>
      <c r="AY8" s="11"/>
      <c r="BF8" s="11"/>
      <c r="BG8" s="11"/>
      <c r="BH8" s="11"/>
      <c r="BJ8" s="11"/>
      <c r="BK8" s="11"/>
      <c r="BL8" s="11"/>
      <c r="BM8" s="11"/>
      <c r="BN8" s="11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</row>
    <row r="9" spans="1:78" ht="16" x14ac:dyDescent="0.2">
      <c r="A9" s="6" t="s">
        <v>7</v>
      </c>
      <c r="B9" s="6" t="s">
        <v>8</v>
      </c>
      <c r="C9" s="6" t="s">
        <v>9</v>
      </c>
      <c r="D9" s="6" t="s">
        <v>10</v>
      </c>
      <c r="F9" s="17">
        <v>475</v>
      </c>
      <c r="G9" s="17">
        <v>50</v>
      </c>
      <c r="H9" s="8">
        <v>122</v>
      </c>
      <c r="I9" s="8">
        <v>119</v>
      </c>
      <c r="J9" s="8">
        <v>119</v>
      </c>
      <c r="K9" s="8"/>
      <c r="M9" s="8"/>
      <c r="N9" s="8"/>
      <c r="O9" s="9"/>
      <c r="P9" s="9"/>
      <c r="S9" s="9"/>
      <c r="T9" s="9"/>
      <c r="V9" s="9"/>
      <c r="W9" s="9"/>
      <c r="X9" s="9"/>
      <c r="Y9" s="9"/>
      <c r="Z9" s="9"/>
      <c r="AA9" s="9"/>
      <c r="AB9" s="9"/>
      <c r="AC9" s="9"/>
      <c r="AF9" s="9"/>
      <c r="AG9" s="9"/>
      <c r="AK9" s="9"/>
      <c r="AL9" s="12"/>
      <c r="AM9" s="12"/>
      <c r="AO9" s="12"/>
      <c r="AP9" s="12"/>
      <c r="AQ9" s="12"/>
      <c r="AR9" s="12"/>
      <c r="AY9" s="12"/>
      <c r="BF9" s="12"/>
      <c r="BG9" s="12"/>
      <c r="BH9" s="12"/>
      <c r="BJ9" s="12"/>
      <c r="BK9" s="12"/>
      <c r="BL9" s="12"/>
      <c r="BM9" s="12"/>
      <c r="BN9" s="12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</row>
    <row r="10" spans="1:78" ht="16" x14ac:dyDescent="0.2">
      <c r="A10" s="6" t="s">
        <v>7</v>
      </c>
      <c r="B10" s="6" t="s">
        <v>8</v>
      </c>
      <c r="C10" s="6" t="s">
        <v>9</v>
      </c>
      <c r="D10" s="6" t="s">
        <v>10</v>
      </c>
      <c r="F10" s="17">
        <v>475</v>
      </c>
      <c r="G10" s="17">
        <v>90</v>
      </c>
      <c r="H10" s="8">
        <v>218</v>
      </c>
      <c r="I10" s="8">
        <v>215</v>
      </c>
      <c r="J10" s="8">
        <v>215</v>
      </c>
      <c r="K10" s="8"/>
      <c r="M10" s="8"/>
      <c r="N10" s="8"/>
      <c r="O10" s="12"/>
      <c r="P10" s="9"/>
      <c r="S10" s="12"/>
      <c r="T10" s="12"/>
      <c r="V10" s="12"/>
      <c r="W10" s="12"/>
      <c r="X10" s="12"/>
      <c r="Y10" s="12"/>
      <c r="Z10" s="12"/>
      <c r="AA10" s="12"/>
      <c r="AB10" s="12"/>
      <c r="AC10" s="12"/>
      <c r="AF10" s="12"/>
      <c r="AG10" s="12"/>
      <c r="AK10" s="9"/>
      <c r="AL10" s="12"/>
      <c r="AM10" s="12"/>
      <c r="AO10" s="12"/>
      <c r="AP10" s="12"/>
      <c r="AQ10" s="12"/>
      <c r="AR10" s="12"/>
      <c r="AY10" s="12"/>
      <c r="BF10" s="12"/>
      <c r="BG10" s="12"/>
      <c r="BH10" s="12"/>
      <c r="BJ10" s="12"/>
      <c r="BK10" s="12"/>
      <c r="BL10" s="12"/>
      <c r="BM10" s="12"/>
      <c r="BN10" s="12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</row>
    <row r="11" spans="1:78" ht="16" x14ac:dyDescent="0.2">
      <c r="A11" s="6" t="s">
        <v>7</v>
      </c>
      <c r="B11" s="6" t="s">
        <v>8</v>
      </c>
      <c r="C11" s="6" t="s">
        <v>9</v>
      </c>
      <c r="D11" s="6" t="s">
        <v>10</v>
      </c>
      <c r="F11" s="17">
        <v>475</v>
      </c>
      <c r="G11" s="17">
        <v>100</v>
      </c>
      <c r="H11" s="8">
        <v>242</v>
      </c>
      <c r="I11" s="8">
        <v>239</v>
      </c>
      <c r="J11" s="8">
        <v>239</v>
      </c>
      <c r="K11" s="8"/>
      <c r="M11" s="8"/>
      <c r="N11" s="8"/>
      <c r="O11" s="12"/>
      <c r="P11" s="9"/>
      <c r="S11" s="12"/>
      <c r="T11" s="12"/>
      <c r="V11" s="12"/>
      <c r="W11" s="12"/>
      <c r="X11" s="12"/>
      <c r="Y11" s="12"/>
      <c r="Z11" s="12"/>
      <c r="AA11" s="12"/>
      <c r="AB11" s="12"/>
      <c r="AC11" s="12"/>
      <c r="AF11" s="12"/>
      <c r="AG11" s="12"/>
      <c r="AK11" s="9"/>
      <c r="AL11" s="12"/>
      <c r="AM11" s="12"/>
      <c r="AO11" s="12"/>
      <c r="AP11" s="12"/>
      <c r="AQ11" s="12"/>
      <c r="AR11" s="12"/>
      <c r="AY11" s="12"/>
      <c r="BF11" s="12"/>
      <c r="BG11" s="12"/>
      <c r="BH11" s="12"/>
      <c r="BJ11" s="12"/>
      <c r="BK11" s="12"/>
      <c r="BL11" s="12"/>
      <c r="BM11" s="12"/>
      <c r="BN11" s="12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</row>
    <row r="12" spans="1:78" ht="16" x14ac:dyDescent="0.2">
      <c r="A12" s="6" t="s">
        <v>7</v>
      </c>
      <c r="B12" s="6" t="s">
        <v>8</v>
      </c>
      <c r="C12" s="6" t="s">
        <v>9</v>
      </c>
      <c r="D12" s="6" t="s">
        <v>10</v>
      </c>
      <c r="F12" s="20">
        <v>555</v>
      </c>
      <c r="G12" s="20">
        <v>5</v>
      </c>
      <c r="H12" s="8">
        <v>11.1</v>
      </c>
      <c r="I12" s="8">
        <v>10.7</v>
      </c>
      <c r="J12" s="8">
        <v>10.7</v>
      </c>
      <c r="K12" s="8"/>
      <c r="M12" s="8"/>
      <c r="N12" s="8"/>
      <c r="O12" s="9"/>
      <c r="P12" s="9"/>
      <c r="S12" s="9"/>
      <c r="T12" s="9"/>
      <c r="V12" s="11"/>
      <c r="W12" s="11"/>
      <c r="X12" s="11"/>
      <c r="Y12" s="11"/>
      <c r="Z12" s="11"/>
      <c r="AA12" s="11"/>
      <c r="AB12" s="11"/>
      <c r="AC12" s="12"/>
      <c r="AF12" s="12"/>
      <c r="AG12" s="12"/>
      <c r="AK12" s="12"/>
      <c r="AL12" s="12"/>
      <c r="AM12" s="12"/>
      <c r="AO12" s="12"/>
      <c r="AP12" s="12"/>
      <c r="AQ12" s="12"/>
      <c r="AR12" s="12"/>
      <c r="AY12" s="12"/>
      <c r="BF12" s="12"/>
      <c r="BG12" s="12"/>
      <c r="BH12" s="12"/>
      <c r="BJ12" s="12"/>
      <c r="BK12" s="12"/>
      <c r="BL12" s="9"/>
      <c r="BM12" s="9"/>
      <c r="BN12" s="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</row>
    <row r="13" spans="1:78" ht="16" x14ac:dyDescent="0.2">
      <c r="A13" s="6" t="s">
        <v>7</v>
      </c>
      <c r="B13" s="6" t="s">
        <v>8</v>
      </c>
      <c r="C13" s="6" t="s">
        <v>9</v>
      </c>
      <c r="D13" s="6" t="s">
        <v>10</v>
      </c>
      <c r="F13" s="20">
        <v>555</v>
      </c>
      <c r="G13" s="20">
        <v>10</v>
      </c>
      <c r="H13" s="8">
        <v>22.7</v>
      </c>
      <c r="I13" s="8">
        <v>22.2</v>
      </c>
      <c r="J13" s="8">
        <v>22.2</v>
      </c>
      <c r="K13" s="8"/>
      <c r="M13" s="8"/>
      <c r="N13" s="8"/>
      <c r="O13" s="9"/>
      <c r="P13" s="11"/>
      <c r="S13" s="11"/>
      <c r="T13" s="11"/>
      <c r="V13" s="11"/>
      <c r="W13" s="11"/>
      <c r="X13" s="11"/>
      <c r="Y13" s="11"/>
      <c r="Z13" s="11"/>
      <c r="AA13" s="11"/>
      <c r="AB13" s="11"/>
      <c r="AC13" s="11"/>
      <c r="AF13" s="11"/>
      <c r="AG13" s="11"/>
      <c r="AK13" s="11"/>
      <c r="AL13" s="11"/>
      <c r="AM13" s="11"/>
      <c r="AO13" s="11"/>
      <c r="AP13" s="11"/>
      <c r="AQ13" s="11"/>
      <c r="AR13" s="11"/>
      <c r="AY13" s="9"/>
      <c r="BF13" s="11"/>
      <c r="BG13" s="11"/>
      <c r="BH13" s="11"/>
      <c r="BJ13" s="11"/>
      <c r="BK13" s="11"/>
      <c r="BL13" s="11"/>
      <c r="BM13" s="11"/>
      <c r="BN13" s="11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</row>
    <row r="14" spans="1:78" ht="16" x14ac:dyDescent="0.2">
      <c r="A14" s="6" t="s">
        <v>7</v>
      </c>
      <c r="B14" s="6" t="s">
        <v>8</v>
      </c>
      <c r="C14" s="6" t="s">
        <v>9</v>
      </c>
      <c r="D14" s="6" t="s">
        <v>10</v>
      </c>
      <c r="F14" s="20">
        <v>555</v>
      </c>
      <c r="G14" s="20">
        <v>50</v>
      </c>
      <c r="H14" s="8">
        <v>115</v>
      </c>
      <c r="I14" s="8">
        <v>115</v>
      </c>
      <c r="J14" s="8">
        <v>115</v>
      </c>
      <c r="K14" s="8"/>
      <c r="M14" s="8"/>
      <c r="N14" s="8"/>
      <c r="O14" s="9"/>
      <c r="P14" s="9"/>
      <c r="S14" s="9"/>
      <c r="T14" s="9"/>
      <c r="V14" s="9"/>
      <c r="W14" s="9"/>
      <c r="X14" s="9"/>
      <c r="Y14" s="9"/>
      <c r="Z14" s="9"/>
      <c r="AA14" s="9"/>
      <c r="AB14" s="9"/>
      <c r="AC14" s="9"/>
      <c r="AF14" s="9"/>
      <c r="AG14" s="9"/>
      <c r="AK14" s="9"/>
      <c r="AL14" s="12"/>
      <c r="AM14" s="12"/>
      <c r="AO14" s="12"/>
      <c r="AP14" s="12"/>
      <c r="AQ14" s="12"/>
      <c r="AR14" s="12"/>
      <c r="AY14" s="12"/>
      <c r="BF14" s="12"/>
      <c r="BG14" s="12"/>
      <c r="BH14" s="12"/>
      <c r="BJ14" s="12"/>
      <c r="BK14" s="12"/>
      <c r="BL14" s="12"/>
      <c r="BM14" s="12"/>
      <c r="BN14" s="12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</row>
    <row r="15" spans="1:78" ht="16" x14ac:dyDescent="0.2">
      <c r="A15" s="6" t="s">
        <v>7</v>
      </c>
      <c r="B15" s="6" t="s">
        <v>8</v>
      </c>
      <c r="C15" s="6" t="s">
        <v>9</v>
      </c>
      <c r="D15" s="6" t="s">
        <v>10</v>
      </c>
      <c r="F15" s="20">
        <v>555</v>
      </c>
      <c r="G15" s="20">
        <v>90</v>
      </c>
      <c r="H15" s="8">
        <v>210</v>
      </c>
      <c r="I15" s="8">
        <v>209</v>
      </c>
      <c r="J15" s="8">
        <v>209</v>
      </c>
      <c r="K15" s="8"/>
      <c r="M15" s="8"/>
      <c r="N15" s="8"/>
      <c r="O15" s="12"/>
      <c r="P15" s="9"/>
      <c r="S15" s="12"/>
      <c r="T15" s="12"/>
      <c r="V15" s="12"/>
      <c r="W15" s="12"/>
      <c r="X15" s="12"/>
      <c r="Y15" s="12"/>
      <c r="Z15" s="12"/>
      <c r="AA15" s="12"/>
      <c r="AB15" s="12"/>
      <c r="AC15" s="12"/>
      <c r="AF15" s="12"/>
      <c r="AG15" s="12"/>
      <c r="AK15" s="9"/>
      <c r="AL15" s="12"/>
      <c r="AM15" s="12"/>
      <c r="AO15" s="12"/>
      <c r="AP15" s="12"/>
      <c r="AQ15" s="12"/>
      <c r="AR15" s="12"/>
      <c r="AY15" s="12"/>
      <c r="BF15" s="12"/>
      <c r="BG15" s="12"/>
      <c r="BH15" s="12"/>
      <c r="BJ15" s="12"/>
      <c r="BK15" s="12"/>
      <c r="BL15" s="12"/>
      <c r="BM15" s="12"/>
      <c r="BN15" s="12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</row>
    <row r="16" spans="1:78" ht="16" x14ac:dyDescent="0.2">
      <c r="A16" s="6" t="s">
        <v>7</v>
      </c>
      <c r="B16" s="6" t="s">
        <v>8</v>
      </c>
      <c r="C16" s="6" t="s">
        <v>9</v>
      </c>
      <c r="D16" s="6" t="s">
        <v>10</v>
      </c>
      <c r="F16" s="20">
        <v>555</v>
      </c>
      <c r="G16" s="20">
        <v>100</v>
      </c>
      <c r="H16" s="8">
        <v>234</v>
      </c>
      <c r="I16" s="8">
        <v>232</v>
      </c>
      <c r="J16" s="8">
        <v>232</v>
      </c>
      <c r="K16" s="8"/>
      <c r="M16" s="8"/>
      <c r="N16" s="8"/>
      <c r="O16" s="12"/>
      <c r="P16" s="9"/>
      <c r="S16" s="12"/>
      <c r="T16" s="12"/>
      <c r="V16" s="12"/>
      <c r="W16" s="12"/>
      <c r="X16" s="12"/>
      <c r="Y16" s="12"/>
      <c r="Z16" s="12"/>
      <c r="AA16" s="12"/>
      <c r="AB16" s="12"/>
      <c r="AC16" s="12"/>
      <c r="AF16" s="12"/>
      <c r="AG16" s="12"/>
      <c r="AK16" s="9"/>
      <c r="AL16" s="12"/>
      <c r="AM16" s="12"/>
      <c r="AO16" s="12"/>
      <c r="AP16" s="12"/>
      <c r="AQ16" s="12"/>
      <c r="AR16" s="12"/>
      <c r="AY16" s="12"/>
      <c r="BF16" s="12"/>
      <c r="BG16" s="12"/>
      <c r="BH16" s="12"/>
      <c r="BJ16" s="12"/>
      <c r="BK16" s="12"/>
      <c r="BL16" s="12"/>
      <c r="BM16" s="12"/>
      <c r="BN16" s="12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</row>
    <row r="17" spans="1:78" ht="16" x14ac:dyDescent="0.2">
      <c r="A17" s="6" t="s">
        <v>7</v>
      </c>
      <c r="B17" s="6" t="s">
        <v>8</v>
      </c>
      <c r="C17" s="6" t="s">
        <v>9</v>
      </c>
      <c r="D17" s="6" t="s">
        <v>10</v>
      </c>
      <c r="F17" s="21">
        <v>635</v>
      </c>
      <c r="G17" s="21">
        <v>5</v>
      </c>
      <c r="H17" s="8">
        <v>3.61</v>
      </c>
      <c r="I17" s="8">
        <v>3.13</v>
      </c>
      <c r="J17" s="8">
        <v>3.13</v>
      </c>
      <c r="K17" s="8"/>
      <c r="M17" s="8"/>
      <c r="N17" s="8"/>
      <c r="O17" s="9"/>
      <c r="P17" s="9"/>
      <c r="S17" s="9"/>
      <c r="T17" s="9"/>
      <c r="V17" s="11"/>
      <c r="W17" s="11"/>
      <c r="X17" s="11"/>
      <c r="Y17" s="11"/>
      <c r="Z17" s="11"/>
      <c r="AA17" s="11"/>
      <c r="AB17" s="11"/>
      <c r="AC17" s="12"/>
      <c r="AF17" s="12"/>
      <c r="AG17" s="12"/>
      <c r="AK17" s="12"/>
      <c r="AL17" s="12"/>
      <c r="AM17" s="12"/>
      <c r="AO17" s="12"/>
      <c r="AP17" s="12"/>
      <c r="AQ17" s="12"/>
      <c r="AR17" s="12"/>
      <c r="AY17" s="12"/>
      <c r="BF17" s="12"/>
      <c r="BG17" s="12"/>
      <c r="BH17" s="12"/>
      <c r="BJ17" s="18"/>
      <c r="BK17" s="18"/>
      <c r="BL17" s="9"/>
      <c r="BM17" s="9"/>
      <c r="BN17" s="9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</row>
    <row r="18" spans="1:78" ht="16" x14ac:dyDescent="0.2">
      <c r="A18" s="6" t="s">
        <v>7</v>
      </c>
      <c r="B18" s="6" t="s">
        <v>8</v>
      </c>
      <c r="C18" s="6" t="s">
        <v>9</v>
      </c>
      <c r="D18" s="6" t="s">
        <v>10</v>
      </c>
      <c r="F18" s="21">
        <v>635</v>
      </c>
      <c r="G18" s="21">
        <v>10</v>
      </c>
      <c r="H18" s="8">
        <v>7.11</v>
      </c>
      <c r="I18" s="8">
        <v>6.7</v>
      </c>
      <c r="J18" s="8">
        <v>6.7</v>
      </c>
      <c r="K18" s="8"/>
      <c r="M18" s="8"/>
      <c r="N18" s="8"/>
      <c r="O18" s="9"/>
      <c r="P18" s="9"/>
      <c r="S18" s="11"/>
      <c r="T18" s="11"/>
      <c r="V18" s="9"/>
      <c r="W18" s="9"/>
      <c r="X18" s="9"/>
      <c r="Y18" s="9"/>
      <c r="Z18" s="9"/>
      <c r="AA18" s="9"/>
      <c r="AB18" s="9"/>
      <c r="AC18" s="9"/>
      <c r="AF18" s="9"/>
      <c r="AG18" s="9"/>
      <c r="AK18" s="9"/>
      <c r="AL18" s="9"/>
      <c r="AM18" s="9"/>
      <c r="AO18" s="9"/>
      <c r="AP18" s="9"/>
      <c r="AQ18" s="9"/>
      <c r="AR18" s="9"/>
      <c r="AY18" s="9"/>
      <c r="BF18" s="22"/>
      <c r="BG18" s="22"/>
      <c r="BH18" s="22"/>
      <c r="BJ18" s="21"/>
      <c r="BK18" s="21"/>
      <c r="BL18" s="9"/>
      <c r="BM18" s="9"/>
      <c r="BN18" s="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</row>
    <row r="19" spans="1:78" ht="16" x14ac:dyDescent="0.2">
      <c r="A19" s="6" t="s">
        <v>7</v>
      </c>
      <c r="B19" s="6" t="s">
        <v>8</v>
      </c>
      <c r="C19" s="6" t="s">
        <v>9</v>
      </c>
      <c r="D19" s="6" t="s">
        <v>10</v>
      </c>
      <c r="F19" s="21">
        <v>635</v>
      </c>
      <c r="G19" s="21">
        <v>50</v>
      </c>
      <c r="H19" s="8">
        <v>36.299999999999997</v>
      </c>
      <c r="I19" s="8">
        <v>34.6</v>
      </c>
      <c r="J19" s="8">
        <v>34.6</v>
      </c>
      <c r="K19" s="8"/>
      <c r="M19" s="8"/>
      <c r="N19" s="8"/>
      <c r="O19" s="9"/>
      <c r="P19" s="11"/>
      <c r="S19" s="11"/>
      <c r="T19" s="11"/>
      <c r="V19" s="11"/>
      <c r="W19" s="11"/>
      <c r="X19" s="11"/>
      <c r="Y19" s="11"/>
      <c r="Z19" s="11"/>
      <c r="AA19" s="11"/>
      <c r="AB19" s="11"/>
      <c r="AC19" s="11"/>
      <c r="AF19" s="11"/>
      <c r="AG19" s="9"/>
      <c r="AK19" s="11"/>
      <c r="AL19" s="11"/>
      <c r="AM19" s="11"/>
      <c r="AO19" s="11"/>
      <c r="AP19" s="11"/>
      <c r="AQ19" s="11"/>
      <c r="AR19" s="11"/>
      <c r="AY19" s="11"/>
      <c r="BF19" s="11"/>
      <c r="BG19" s="11"/>
      <c r="BH19" s="11"/>
      <c r="BJ19" s="9"/>
      <c r="BK19" s="9"/>
      <c r="BL19" s="9"/>
      <c r="BM19" s="9"/>
      <c r="BN19" s="9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</row>
    <row r="20" spans="1:78" ht="16" x14ac:dyDescent="0.2">
      <c r="A20" s="6" t="s">
        <v>7</v>
      </c>
      <c r="B20" s="6" t="s">
        <v>8</v>
      </c>
      <c r="C20" s="6" t="s">
        <v>9</v>
      </c>
      <c r="D20" s="6" t="s">
        <v>10</v>
      </c>
      <c r="F20" s="21">
        <v>635</v>
      </c>
      <c r="G20" s="21">
        <v>90</v>
      </c>
      <c r="H20" s="8">
        <v>63.4</v>
      </c>
      <c r="I20" s="8">
        <v>61.6</v>
      </c>
      <c r="J20" s="8">
        <v>61.6</v>
      </c>
      <c r="K20" s="8"/>
      <c r="M20" s="8"/>
      <c r="N20" s="8"/>
      <c r="O20" s="9"/>
      <c r="P20" s="9"/>
      <c r="S20" s="9"/>
      <c r="T20" s="9"/>
      <c r="V20" s="9"/>
      <c r="W20" s="9"/>
      <c r="X20" s="9"/>
      <c r="Y20" s="9"/>
      <c r="Z20" s="9"/>
      <c r="AA20" s="9"/>
      <c r="AB20" s="9"/>
      <c r="AC20" s="9"/>
      <c r="AF20" s="9"/>
      <c r="AG20" s="9"/>
      <c r="AK20" s="9"/>
      <c r="AL20" s="9"/>
      <c r="AM20" s="9"/>
      <c r="AO20" s="9"/>
      <c r="AP20" s="9"/>
      <c r="AQ20" s="9"/>
      <c r="AR20" s="9"/>
      <c r="AY20" s="9"/>
      <c r="BF20" s="11"/>
      <c r="BG20" s="11"/>
      <c r="BH20" s="11"/>
      <c r="BJ20" s="18"/>
      <c r="BK20" s="18"/>
      <c r="BL20" s="9"/>
      <c r="BM20" s="9"/>
      <c r="BN20" s="9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</row>
    <row r="21" spans="1:78" ht="16" x14ac:dyDescent="0.2">
      <c r="A21" s="6" t="s">
        <v>7</v>
      </c>
      <c r="B21" s="6" t="s">
        <v>8</v>
      </c>
      <c r="C21" s="6" t="s">
        <v>9</v>
      </c>
      <c r="D21" s="6" t="s">
        <v>10</v>
      </c>
      <c r="F21" s="21">
        <v>635</v>
      </c>
      <c r="G21" s="21">
        <v>100</v>
      </c>
      <c r="H21" s="8">
        <v>69.7</v>
      </c>
      <c r="I21" s="8">
        <v>67.7</v>
      </c>
      <c r="J21" s="8">
        <v>67.7</v>
      </c>
      <c r="K21" s="8"/>
      <c r="M21" s="8"/>
      <c r="N21" s="8"/>
      <c r="O21" s="9"/>
      <c r="P21" s="9"/>
      <c r="S21" s="9"/>
      <c r="T21" s="9"/>
      <c r="V21" s="9"/>
      <c r="W21" s="9"/>
      <c r="X21" s="9"/>
      <c r="Y21" s="9"/>
      <c r="Z21" s="9"/>
      <c r="AA21" s="9"/>
      <c r="AB21" s="9"/>
      <c r="AC21" s="9"/>
      <c r="AF21" s="9"/>
      <c r="AG21" s="9"/>
      <c r="AK21" s="9"/>
      <c r="AL21" s="9"/>
      <c r="AM21" s="9"/>
      <c r="AO21" s="9"/>
      <c r="AP21" s="9"/>
      <c r="AQ21" s="9"/>
      <c r="AR21" s="9"/>
      <c r="AY21" s="12"/>
      <c r="BF21" s="11"/>
      <c r="BG21" s="11"/>
      <c r="BH21" s="11"/>
      <c r="BJ21" s="18"/>
      <c r="BK21" s="18"/>
      <c r="BL21" s="9"/>
      <c r="BM21" s="9"/>
      <c r="BN21" s="9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</row>
    <row r="22" spans="1:78" ht="16" x14ac:dyDescent="0.2">
      <c r="A22" s="6" t="s">
        <v>7</v>
      </c>
      <c r="B22" s="6" t="s">
        <v>8</v>
      </c>
      <c r="C22" s="6" t="s">
        <v>9</v>
      </c>
      <c r="D22" s="6" t="s">
        <v>10</v>
      </c>
      <c r="F22" s="23">
        <v>730</v>
      </c>
      <c r="G22" s="23">
        <v>5</v>
      </c>
      <c r="H22" s="8">
        <v>2.41</v>
      </c>
      <c r="I22" s="8">
        <v>2.0299999999999998</v>
      </c>
      <c r="J22" s="8">
        <v>2.0299999999999998</v>
      </c>
      <c r="K22" s="8"/>
      <c r="M22" s="8"/>
      <c r="N22" s="8"/>
      <c r="O22" s="9"/>
      <c r="P22" s="9"/>
      <c r="S22" s="9"/>
      <c r="T22" s="9"/>
      <c r="V22" s="9"/>
      <c r="W22" s="9"/>
      <c r="X22" s="9"/>
      <c r="Y22" s="9"/>
      <c r="Z22" s="9"/>
      <c r="AA22" s="9"/>
      <c r="AB22" s="9"/>
      <c r="AC22" s="12"/>
      <c r="AF22" s="12"/>
      <c r="AG22" s="12"/>
      <c r="AK22" s="12"/>
      <c r="AL22" s="12"/>
      <c r="AM22" s="12"/>
      <c r="AO22" s="12"/>
      <c r="AP22" s="12"/>
      <c r="AQ22" s="12"/>
      <c r="AR22" s="12"/>
      <c r="AY22" s="12"/>
      <c r="BF22" s="12"/>
      <c r="BG22" s="12"/>
      <c r="BH22" s="12"/>
      <c r="BJ22" s="12"/>
      <c r="BK22" s="12"/>
      <c r="BL22" s="9"/>
      <c r="BM22" s="9"/>
      <c r="BN22" s="9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</row>
    <row r="23" spans="1:78" ht="16" x14ac:dyDescent="0.2">
      <c r="A23" s="6" t="s">
        <v>7</v>
      </c>
      <c r="B23" s="6" t="s">
        <v>8</v>
      </c>
      <c r="C23" s="6" t="s">
        <v>9</v>
      </c>
      <c r="D23" s="6" t="s">
        <v>10</v>
      </c>
      <c r="F23" s="23">
        <v>730</v>
      </c>
      <c r="G23" s="23">
        <v>10</v>
      </c>
      <c r="H23" s="8">
        <v>4.9400000000000004</v>
      </c>
      <c r="I23" s="8">
        <v>4.66</v>
      </c>
      <c r="J23" s="8">
        <v>4.66</v>
      </c>
      <c r="K23" s="8"/>
      <c r="M23" s="8"/>
      <c r="N23" s="8"/>
      <c r="O23" s="9"/>
      <c r="P23" s="9"/>
      <c r="S23" s="9"/>
      <c r="T23" s="9"/>
      <c r="V23" s="11"/>
      <c r="W23" s="11"/>
      <c r="X23" s="11"/>
      <c r="Y23" s="11"/>
      <c r="Z23" s="11"/>
      <c r="AA23" s="11"/>
      <c r="AB23" s="11"/>
      <c r="AC23" s="9"/>
      <c r="AF23" s="9"/>
      <c r="AG23" s="11"/>
      <c r="AK23" s="9"/>
      <c r="AL23" s="9"/>
      <c r="AM23" s="9"/>
      <c r="AO23" s="9"/>
      <c r="AP23" s="9"/>
      <c r="AQ23" s="9"/>
      <c r="AR23" s="9"/>
      <c r="AY23" s="9"/>
      <c r="BF23" s="9"/>
      <c r="BG23" s="9"/>
      <c r="BH23" s="9"/>
      <c r="BJ23" s="11"/>
      <c r="BK23" s="11"/>
      <c r="BL23" s="9"/>
      <c r="BM23" s="9"/>
      <c r="BN23" s="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</row>
    <row r="24" spans="1:78" ht="16" x14ac:dyDescent="0.2">
      <c r="A24" s="6" t="s">
        <v>7</v>
      </c>
      <c r="B24" s="6" t="s">
        <v>8</v>
      </c>
      <c r="C24" s="6" t="s">
        <v>9</v>
      </c>
      <c r="D24" s="6" t="s">
        <v>10</v>
      </c>
      <c r="F24" s="23">
        <v>730</v>
      </c>
      <c r="G24" s="23">
        <v>50</v>
      </c>
      <c r="H24" s="8">
        <v>24.3</v>
      </c>
      <c r="I24" s="8">
        <v>23.8</v>
      </c>
      <c r="J24" s="8">
        <v>23.8</v>
      </c>
      <c r="K24" s="8"/>
      <c r="M24" s="8"/>
      <c r="N24" s="8"/>
      <c r="O24" s="9"/>
      <c r="P24" s="11"/>
      <c r="S24" s="11"/>
      <c r="T24" s="11"/>
      <c r="V24" s="11"/>
      <c r="W24" s="11"/>
      <c r="X24" s="11"/>
      <c r="Y24" s="11"/>
      <c r="Z24" s="11"/>
      <c r="AA24" s="11"/>
      <c r="AB24" s="11"/>
      <c r="AC24" s="11"/>
      <c r="AF24" s="11"/>
      <c r="AG24" s="9"/>
      <c r="AK24" s="11"/>
      <c r="AL24" s="11"/>
      <c r="AM24" s="11"/>
      <c r="AO24" s="11"/>
      <c r="AP24" s="11"/>
      <c r="AQ24" s="11"/>
      <c r="AR24" s="11"/>
      <c r="AY24" s="9"/>
      <c r="BF24" s="9"/>
      <c r="BG24" s="9"/>
      <c r="BH24" s="9"/>
      <c r="BJ24" s="11"/>
      <c r="BK24" s="11"/>
      <c r="BL24" s="11"/>
      <c r="BM24" s="11"/>
      <c r="BN24" s="11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</row>
    <row r="25" spans="1:78" ht="16" x14ac:dyDescent="0.2">
      <c r="A25" s="6" t="s">
        <v>7</v>
      </c>
      <c r="B25" s="6" t="s">
        <v>8</v>
      </c>
      <c r="C25" s="6" t="s">
        <v>9</v>
      </c>
      <c r="D25" s="6" t="s">
        <v>10</v>
      </c>
      <c r="F25" s="23">
        <v>730</v>
      </c>
      <c r="G25" s="23">
        <v>90</v>
      </c>
      <c r="H25" s="8">
        <v>43.4</v>
      </c>
      <c r="I25" s="8">
        <v>43.1</v>
      </c>
      <c r="J25" s="8">
        <v>43.1</v>
      </c>
      <c r="K25" s="8"/>
      <c r="M25" s="8"/>
      <c r="N25" s="8"/>
      <c r="O25" s="9"/>
      <c r="P25" s="9"/>
      <c r="S25" s="9"/>
      <c r="T25" s="9"/>
      <c r="V25" s="9"/>
      <c r="W25" s="9"/>
      <c r="X25" s="9"/>
      <c r="Y25" s="9"/>
      <c r="Z25" s="9"/>
      <c r="AA25" s="9"/>
      <c r="AB25" s="9"/>
      <c r="AC25" s="11"/>
      <c r="AF25" s="11"/>
      <c r="AG25" s="11"/>
      <c r="AK25" s="11"/>
      <c r="AL25" s="11"/>
      <c r="AM25" s="11"/>
      <c r="AO25" s="11"/>
      <c r="AP25" s="11"/>
      <c r="AQ25" s="11"/>
      <c r="AR25" s="11"/>
      <c r="AY25" s="11"/>
      <c r="BF25" s="11"/>
      <c r="BG25" s="11"/>
      <c r="BH25" s="11"/>
      <c r="BJ25" s="9"/>
      <c r="BK25" s="9"/>
      <c r="BL25" s="9"/>
      <c r="BM25" s="9"/>
      <c r="BN25" s="9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</row>
    <row r="26" spans="1:78" ht="16" x14ac:dyDescent="0.2">
      <c r="A26" s="6" t="s">
        <v>7</v>
      </c>
      <c r="B26" s="6" t="s">
        <v>8</v>
      </c>
      <c r="C26" s="6" t="s">
        <v>9</v>
      </c>
      <c r="D26" s="6" t="s">
        <v>10</v>
      </c>
      <c r="F26" s="23">
        <v>730</v>
      </c>
      <c r="G26" s="23">
        <v>100</v>
      </c>
      <c r="H26" s="8">
        <v>48.1</v>
      </c>
      <c r="I26" s="8">
        <v>47.2</v>
      </c>
      <c r="J26" s="8">
        <v>47.2</v>
      </c>
      <c r="K26" s="8"/>
      <c r="M26" s="8"/>
      <c r="N26" s="8"/>
      <c r="O26" s="9"/>
      <c r="P26" s="9"/>
      <c r="S26" s="9"/>
      <c r="T26" s="9"/>
      <c r="V26" s="9"/>
      <c r="W26" s="9"/>
      <c r="X26" s="9"/>
      <c r="Y26" s="9"/>
      <c r="Z26" s="9"/>
      <c r="AA26" s="9"/>
      <c r="AB26" s="9"/>
      <c r="AC26" s="9"/>
      <c r="AF26" s="9"/>
      <c r="AG26" s="9"/>
      <c r="AK26" s="9"/>
      <c r="AL26" s="9"/>
      <c r="AM26" s="9"/>
      <c r="AO26" s="9"/>
      <c r="AP26" s="9"/>
      <c r="AQ26" s="9"/>
      <c r="AR26" s="9"/>
      <c r="AY26" s="9"/>
      <c r="BF26" s="11"/>
      <c r="BG26" s="11"/>
      <c r="BH26" s="11"/>
      <c r="BJ26" s="9"/>
      <c r="BK26" s="9"/>
      <c r="BL26" s="9"/>
      <c r="BM26" s="9"/>
      <c r="BN26" s="9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</row>
    <row r="27" spans="1:78" ht="16" x14ac:dyDescent="0.2">
      <c r="A27" s="6" t="s">
        <v>17</v>
      </c>
      <c r="B27" s="6" t="s">
        <v>11</v>
      </c>
      <c r="C27" s="6" t="s">
        <v>12</v>
      </c>
      <c r="D27" s="6" t="s">
        <v>13</v>
      </c>
      <c r="E27" s="7">
        <v>405</v>
      </c>
      <c r="G27" s="7">
        <v>5</v>
      </c>
      <c r="H27" s="8">
        <v>0.157</v>
      </c>
      <c r="I27" s="8">
        <v>0.17100000000000001</v>
      </c>
      <c r="J27" s="8">
        <v>0.17100000000000001</v>
      </c>
      <c r="K27" s="26"/>
      <c r="M27" s="9"/>
      <c r="N27" s="27"/>
      <c r="Q27" s="27"/>
      <c r="R27" s="9"/>
      <c r="S27" s="9"/>
      <c r="T27" s="9"/>
      <c r="U27" s="27"/>
      <c r="X27" s="9"/>
      <c r="Y27" s="9"/>
      <c r="Z27" s="9"/>
      <c r="AA27" s="27"/>
      <c r="AB27" s="27"/>
      <c r="AD27" s="27"/>
      <c r="AG27" s="28"/>
      <c r="AH27" s="28"/>
      <c r="AI27" s="28"/>
      <c r="AL27" s="28"/>
      <c r="AN27" s="12"/>
      <c r="AQ27" s="28"/>
      <c r="AR27" s="28"/>
      <c r="AT27" s="12"/>
      <c r="AV27" s="12"/>
      <c r="AW27" s="12"/>
      <c r="AZ27" s="12"/>
      <c r="BB27" s="12"/>
      <c r="BD27" s="12"/>
      <c r="BE27" s="12"/>
      <c r="BF27" s="12"/>
      <c r="BI27" s="12"/>
      <c r="BJ27" s="12"/>
      <c r="BK27" s="12"/>
      <c r="BO27" s="12"/>
      <c r="BQ27" s="12"/>
      <c r="BS27" s="24"/>
      <c r="BW27" s="24"/>
    </row>
    <row r="28" spans="1:78" ht="16" x14ac:dyDescent="0.2">
      <c r="A28" s="6" t="s">
        <v>17</v>
      </c>
      <c r="B28" s="6" t="s">
        <v>11</v>
      </c>
      <c r="C28" s="6" t="s">
        <v>12</v>
      </c>
      <c r="D28" s="6" t="s">
        <v>13</v>
      </c>
      <c r="E28" s="7">
        <v>405</v>
      </c>
      <c r="G28" s="7">
        <v>10</v>
      </c>
      <c r="H28" s="8">
        <v>0.308</v>
      </c>
      <c r="I28" s="8">
        <v>0.34</v>
      </c>
      <c r="J28" s="8">
        <v>0.34</v>
      </c>
      <c r="K28" s="26"/>
      <c r="M28" s="9"/>
      <c r="N28" s="27"/>
      <c r="Q28" s="27"/>
      <c r="R28" s="9"/>
      <c r="S28" s="9"/>
      <c r="T28" s="9"/>
      <c r="U28" s="27"/>
      <c r="X28" s="9"/>
      <c r="Y28" s="9"/>
      <c r="Z28" s="9"/>
      <c r="AA28" s="27"/>
      <c r="AB28" s="27"/>
      <c r="AD28" s="27"/>
      <c r="AG28" s="27"/>
      <c r="AH28" s="9"/>
      <c r="AI28" s="27"/>
      <c r="AL28" s="27"/>
      <c r="AN28" s="9"/>
      <c r="AQ28" s="27"/>
      <c r="AR28" s="27"/>
      <c r="AT28" s="9"/>
      <c r="AV28" s="9"/>
      <c r="AW28" s="27"/>
      <c r="AZ28" s="27"/>
      <c r="BB28" s="27"/>
      <c r="BD28" s="9"/>
      <c r="BE28" s="9"/>
      <c r="BF28" s="27"/>
      <c r="BI28" s="9"/>
      <c r="BJ28" s="9"/>
      <c r="BK28" s="9"/>
      <c r="BO28" s="9"/>
      <c r="BQ28" s="9"/>
      <c r="BS28" s="24"/>
      <c r="BW28" s="24"/>
    </row>
    <row r="29" spans="1:78" ht="16" x14ac:dyDescent="0.2">
      <c r="A29" s="6" t="s">
        <v>17</v>
      </c>
      <c r="B29" s="6" t="s">
        <v>11</v>
      </c>
      <c r="C29" s="6" t="s">
        <v>12</v>
      </c>
      <c r="D29" s="6" t="s">
        <v>13</v>
      </c>
      <c r="E29" s="7">
        <v>405</v>
      </c>
      <c r="G29" s="7">
        <v>50</v>
      </c>
      <c r="H29" s="8">
        <v>1.45</v>
      </c>
      <c r="I29" s="8">
        <v>1.62</v>
      </c>
      <c r="J29" s="8">
        <v>1.62</v>
      </c>
      <c r="K29" s="9"/>
      <c r="M29" s="9"/>
      <c r="N29" s="27"/>
      <c r="Q29" s="27"/>
      <c r="R29" s="9"/>
      <c r="S29" s="9"/>
      <c r="T29" s="9"/>
      <c r="U29" s="9"/>
      <c r="X29" s="9"/>
      <c r="Y29" s="9"/>
      <c r="Z29" s="9"/>
      <c r="AA29" s="9"/>
      <c r="AB29" s="27"/>
      <c r="AD29" s="9"/>
      <c r="AG29" s="9"/>
      <c r="AH29" s="9"/>
      <c r="AI29" s="27"/>
      <c r="AL29" s="27"/>
      <c r="AN29" s="9"/>
      <c r="AQ29" s="9"/>
      <c r="AR29" s="27"/>
      <c r="AT29" s="9"/>
      <c r="AV29" s="9"/>
      <c r="AW29" s="27"/>
      <c r="AZ29" s="27"/>
      <c r="BB29" s="27"/>
      <c r="BD29" s="9"/>
      <c r="BE29" s="9"/>
      <c r="BF29" s="27"/>
      <c r="BI29" s="9"/>
      <c r="BJ29" s="29"/>
      <c r="BK29" s="9"/>
      <c r="BO29" s="27"/>
      <c r="BQ29" s="27"/>
      <c r="BS29" s="24"/>
      <c r="BW29" s="24"/>
    </row>
    <row r="30" spans="1:78" ht="16" x14ac:dyDescent="0.2">
      <c r="A30" s="6" t="s">
        <v>17</v>
      </c>
      <c r="B30" s="6" t="s">
        <v>11</v>
      </c>
      <c r="C30" s="6" t="s">
        <v>12</v>
      </c>
      <c r="D30" s="6" t="s">
        <v>13</v>
      </c>
      <c r="E30" s="7">
        <v>405</v>
      </c>
      <c r="G30" s="7">
        <v>90</v>
      </c>
      <c r="H30" s="8">
        <v>2.5299999999999998</v>
      </c>
      <c r="I30" s="8">
        <v>2.87</v>
      </c>
      <c r="J30" s="8">
        <v>2.87</v>
      </c>
      <c r="K30" s="9"/>
      <c r="M30" s="9"/>
      <c r="N30" s="9"/>
      <c r="Q30" s="27"/>
      <c r="R30" s="9"/>
      <c r="S30" s="9"/>
      <c r="T30" s="9"/>
      <c r="U30" s="22"/>
      <c r="X30" s="9"/>
      <c r="Y30" s="9"/>
      <c r="Z30" s="9"/>
      <c r="AA30" s="9"/>
      <c r="AB30" s="9"/>
      <c r="AD30" s="22"/>
      <c r="AG30" s="22"/>
      <c r="AH30" s="27"/>
      <c r="AI30" s="9"/>
      <c r="AL30" s="9"/>
      <c r="AN30" s="9"/>
      <c r="AQ30" s="9"/>
      <c r="AR30" s="9"/>
      <c r="AT30" s="9"/>
      <c r="AV30" s="9"/>
      <c r="AW30" s="22"/>
      <c r="AZ30" s="9"/>
      <c r="BB30" s="22"/>
      <c r="BD30" s="9"/>
      <c r="BE30" s="9"/>
      <c r="BF30" s="27"/>
      <c r="BI30" s="9"/>
      <c r="BJ30" s="29"/>
      <c r="BK30" s="9"/>
      <c r="BO30" s="27"/>
      <c r="BQ30" s="27"/>
      <c r="BS30" s="24"/>
      <c r="BW30" s="24"/>
    </row>
    <row r="31" spans="1:78" ht="16" x14ac:dyDescent="0.2">
      <c r="A31" s="6" t="s">
        <v>17</v>
      </c>
      <c r="B31" s="6" t="s">
        <v>11</v>
      </c>
      <c r="C31" s="6" t="s">
        <v>12</v>
      </c>
      <c r="D31" s="6" t="s">
        <v>13</v>
      </c>
      <c r="E31" s="7">
        <v>405</v>
      </c>
      <c r="G31" s="7">
        <v>100</v>
      </c>
      <c r="H31" s="8">
        <v>2.78</v>
      </c>
      <c r="I31" s="8">
        <v>3.17</v>
      </c>
      <c r="J31" s="8">
        <v>3.17</v>
      </c>
      <c r="K31" s="9"/>
      <c r="M31" s="9"/>
      <c r="N31" s="9"/>
      <c r="Q31" s="11"/>
      <c r="R31" s="9"/>
      <c r="S31" s="9"/>
      <c r="T31" s="9"/>
      <c r="U31" s="9"/>
      <c r="X31" s="9"/>
      <c r="Y31" s="9"/>
      <c r="Z31" s="9"/>
      <c r="AA31" s="9"/>
      <c r="AB31" s="9"/>
      <c r="AD31" s="9"/>
      <c r="AG31" s="9"/>
      <c r="AH31" s="27"/>
      <c r="AI31" s="11"/>
      <c r="AL31" s="9"/>
      <c r="AN31" s="9"/>
      <c r="AQ31" s="9"/>
      <c r="AR31" s="11"/>
      <c r="AT31" s="9"/>
      <c r="AV31" s="9"/>
      <c r="AW31" s="9"/>
      <c r="AZ31" s="9"/>
      <c r="BB31" s="9"/>
      <c r="BD31" s="9"/>
      <c r="BE31" s="9"/>
      <c r="BF31" s="22"/>
      <c r="BI31" s="9"/>
      <c r="BJ31" s="30"/>
      <c r="BK31" s="9"/>
      <c r="BO31" s="30"/>
      <c r="BQ31" s="30"/>
      <c r="BS31" s="24"/>
      <c r="BW31" s="24"/>
    </row>
    <row r="32" spans="1:78" ht="16" x14ac:dyDescent="0.2">
      <c r="A32" s="6" t="s">
        <v>17</v>
      </c>
      <c r="B32" s="6" t="s">
        <v>11</v>
      </c>
      <c r="C32" s="6" t="s">
        <v>12</v>
      </c>
      <c r="D32" s="6" t="s">
        <v>13</v>
      </c>
      <c r="E32" s="17">
        <v>488</v>
      </c>
      <c r="G32" s="17">
        <v>5</v>
      </c>
      <c r="H32" s="8">
        <v>0.46</v>
      </c>
      <c r="I32" s="8">
        <v>0.46400000000000002</v>
      </c>
      <c r="J32" s="8">
        <v>0.46400000000000002</v>
      </c>
      <c r="K32" s="27"/>
      <c r="M32" s="9"/>
      <c r="N32" s="27"/>
      <c r="Q32" s="27"/>
      <c r="R32" s="9"/>
      <c r="S32" s="9"/>
      <c r="T32" s="9"/>
      <c r="U32" s="27"/>
      <c r="X32" s="9"/>
      <c r="Y32" s="9"/>
      <c r="Z32" s="27"/>
      <c r="AA32" s="9"/>
      <c r="AB32" s="27"/>
      <c r="AD32" s="27"/>
      <c r="AG32" s="28"/>
      <c r="AH32" s="12"/>
      <c r="AI32" s="28"/>
      <c r="AL32" s="28"/>
      <c r="AN32" s="12"/>
      <c r="AQ32" s="28"/>
      <c r="AR32" s="12"/>
      <c r="AT32" s="12"/>
      <c r="AV32" s="12"/>
      <c r="AW32" s="12"/>
      <c r="AZ32" s="12"/>
      <c r="BB32" s="12"/>
      <c r="BD32" s="12"/>
      <c r="BE32" s="9"/>
      <c r="BF32" s="12"/>
      <c r="BI32" s="12"/>
      <c r="BJ32" s="12"/>
      <c r="BK32" s="12"/>
      <c r="BO32" s="12"/>
      <c r="BQ32" s="12"/>
      <c r="BS32" s="24"/>
      <c r="BW32" s="24"/>
    </row>
    <row r="33" spans="1:75" ht="16" x14ac:dyDescent="0.2">
      <c r="A33" s="6" t="s">
        <v>17</v>
      </c>
      <c r="B33" s="6" t="s">
        <v>11</v>
      </c>
      <c r="C33" s="6" t="s">
        <v>12</v>
      </c>
      <c r="D33" s="6" t="s">
        <v>13</v>
      </c>
      <c r="E33" s="17">
        <v>488</v>
      </c>
      <c r="G33" s="17">
        <v>10</v>
      </c>
      <c r="H33" s="8">
        <v>0.89</v>
      </c>
      <c r="I33" s="8">
        <v>0.89500000000000002</v>
      </c>
      <c r="J33" s="8">
        <v>0.89500000000000002</v>
      </c>
      <c r="K33" s="27"/>
      <c r="M33" s="9"/>
      <c r="N33" s="27"/>
      <c r="Q33" s="27"/>
      <c r="R33" s="9"/>
      <c r="S33" s="9"/>
      <c r="T33" s="9"/>
      <c r="U33" s="27"/>
      <c r="X33" s="9"/>
      <c r="Y33" s="9"/>
      <c r="Z33" s="27"/>
      <c r="AA33" s="27"/>
      <c r="AB33" s="9"/>
      <c r="AD33" s="27"/>
      <c r="AG33" s="27"/>
      <c r="AH33" s="27"/>
      <c r="AI33" s="27"/>
      <c r="AL33" s="27"/>
      <c r="AN33" s="9"/>
      <c r="AQ33" s="27"/>
      <c r="AR33" s="27"/>
      <c r="AT33" s="9"/>
      <c r="AV33" s="9"/>
      <c r="AW33" s="27"/>
      <c r="AZ33" s="9"/>
      <c r="BB33" s="9"/>
      <c r="BD33" s="9"/>
      <c r="BE33" s="12"/>
      <c r="BF33" s="27"/>
      <c r="BI33" s="9"/>
      <c r="BJ33" s="27"/>
      <c r="BK33" s="9"/>
      <c r="BO33" s="9"/>
      <c r="BQ33" s="9"/>
      <c r="BS33" s="24"/>
      <c r="BW33" s="24"/>
    </row>
    <row r="34" spans="1:75" ht="16" x14ac:dyDescent="0.2">
      <c r="A34" s="6" t="s">
        <v>17</v>
      </c>
      <c r="B34" s="6" t="s">
        <v>11</v>
      </c>
      <c r="C34" s="6" t="s">
        <v>12</v>
      </c>
      <c r="D34" s="6" t="s">
        <v>13</v>
      </c>
      <c r="E34" s="17">
        <v>488</v>
      </c>
      <c r="G34" s="17">
        <v>50</v>
      </c>
      <c r="H34" s="8">
        <v>4.26</v>
      </c>
      <c r="I34" s="8">
        <v>4.26</v>
      </c>
      <c r="J34" s="8">
        <v>4.26</v>
      </c>
      <c r="K34" s="9"/>
      <c r="M34" s="9"/>
      <c r="N34" s="9"/>
      <c r="Q34" s="9"/>
      <c r="R34" s="9"/>
      <c r="S34" s="9"/>
      <c r="T34" s="9"/>
      <c r="U34" s="9"/>
      <c r="X34" s="9"/>
      <c r="Y34" s="9"/>
      <c r="Z34" s="11"/>
      <c r="AA34" s="9"/>
      <c r="AB34" s="11"/>
      <c r="AD34" s="9"/>
      <c r="AG34" s="9"/>
      <c r="AH34" s="27"/>
      <c r="AI34" s="9"/>
      <c r="AL34" s="9"/>
      <c r="AN34" s="9"/>
      <c r="AQ34" s="9"/>
      <c r="AR34" s="9"/>
      <c r="AT34" s="9"/>
      <c r="AV34" s="9"/>
      <c r="AW34" s="22"/>
      <c r="AZ34" s="9"/>
      <c r="BB34" s="9"/>
      <c r="BD34" s="9"/>
      <c r="BE34" s="9"/>
      <c r="BF34" s="9"/>
      <c r="BI34" s="9"/>
      <c r="BJ34" s="9"/>
      <c r="BK34" s="9"/>
      <c r="BO34" s="18"/>
      <c r="BQ34" s="18"/>
      <c r="BS34" s="24"/>
      <c r="BW34" s="24"/>
    </row>
    <row r="35" spans="1:75" ht="16" x14ac:dyDescent="0.2">
      <c r="A35" s="6" t="s">
        <v>17</v>
      </c>
      <c r="B35" s="6" t="s">
        <v>11</v>
      </c>
      <c r="C35" s="6" t="s">
        <v>12</v>
      </c>
      <c r="D35" s="6" t="s">
        <v>13</v>
      </c>
      <c r="E35" s="17">
        <v>488</v>
      </c>
      <c r="G35" s="17">
        <v>90</v>
      </c>
      <c r="H35" s="8">
        <v>7.46</v>
      </c>
      <c r="I35" s="8">
        <v>7.5</v>
      </c>
      <c r="J35" s="8">
        <v>7.5</v>
      </c>
      <c r="K35" s="9"/>
      <c r="M35" s="9"/>
      <c r="N35" s="9"/>
      <c r="Q35" s="9"/>
      <c r="R35" s="9"/>
      <c r="S35" s="9"/>
      <c r="T35" s="11"/>
      <c r="U35" s="9"/>
      <c r="X35" s="9"/>
      <c r="Y35" s="9"/>
      <c r="Z35" s="9"/>
      <c r="AA35" s="9"/>
      <c r="AB35" s="9"/>
      <c r="AD35" s="9"/>
      <c r="AG35" s="9"/>
      <c r="AH35" s="11"/>
      <c r="AI35" s="9"/>
      <c r="AL35" s="11"/>
      <c r="AN35" s="9"/>
      <c r="AQ35" s="9"/>
      <c r="AR35" s="9"/>
      <c r="AT35" s="9"/>
      <c r="AV35" s="9"/>
      <c r="AW35" s="9"/>
      <c r="AZ35" s="9"/>
      <c r="BB35" s="9"/>
      <c r="BD35" s="9"/>
      <c r="BE35" s="9"/>
      <c r="BF35" s="11"/>
      <c r="BI35" s="9"/>
      <c r="BJ35" s="9"/>
      <c r="BK35" s="9"/>
      <c r="BO35" s="18"/>
      <c r="BQ35" s="18"/>
      <c r="BS35" s="24"/>
      <c r="BW35" s="24"/>
    </row>
    <row r="36" spans="1:75" ht="16" x14ac:dyDescent="0.2">
      <c r="A36" s="6" t="s">
        <v>17</v>
      </c>
      <c r="B36" s="6" t="s">
        <v>11</v>
      </c>
      <c r="C36" s="6" t="s">
        <v>12</v>
      </c>
      <c r="D36" s="6" t="s">
        <v>13</v>
      </c>
      <c r="E36" s="17">
        <v>488</v>
      </c>
      <c r="G36" s="17">
        <v>100</v>
      </c>
      <c r="H36" s="8">
        <v>8.17</v>
      </c>
      <c r="I36" s="8">
        <v>8.23</v>
      </c>
      <c r="J36" s="8">
        <v>8.23</v>
      </c>
      <c r="K36" s="9"/>
      <c r="M36" s="9"/>
      <c r="N36" s="9"/>
      <c r="Q36" s="22"/>
      <c r="R36" s="9"/>
      <c r="S36" s="9"/>
      <c r="T36" s="9"/>
      <c r="U36" s="9"/>
      <c r="X36" s="9"/>
      <c r="Y36" s="9"/>
      <c r="Z36" s="9"/>
      <c r="AA36" s="9"/>
      <c r="AB36" s="9"/>
      <c r="AD36" s="9"/>
      <c r="AG36" s="9"/>
      <c r="AH36" s="9"/>
      <c r="AI36" s="9"/>
      <c r="AL36" s="9"/>
      <c r="AN36" s="9"/>
      <c r="AQ36" s="9"/>
      <c r="AR36" s="9"/>
      <c r="AT36" s="9"/>
      <c r="AV36" s="9"/>
      <c r="AW36" s="9"/>
      <c r="AZ36" s="9"/>
      <c r="BB36" s="22"/>
      <c r="BD36" s="9"/>
      <c r="BE36" s="9"/>
      <c r="BF36" s="9"/>
      <c r="BI36" s="9"/>
      <c r="BJ36" s="9"/>
      <c r="BK36" s="9"/>
      <c r="BO36" s="11"/>
      <c r="BQ36" s="11"/>
      <c r="BS36" s="24"/>
      <c r="BW36" s="24"/>
    </row>
    <row r="37" spans="1:75" ht="16" x14ac:dyDescent="0.2">
      <c r="A37" s="6" t="s">
        <v>17</v>
      </c>
      <c r="B37" s="6" t="s">
        <v>11</v>
      </c>
      <c r="C37" s="6" t="s">
        <v>12</v>
      </c>
      <c r="D37" s="6" t="s">
        <v>10</v>
      </c>
      <c r="F37" s="7">
        <v>395</v>
      </c>
      <c r="G37" s="7">
        <v>5</v>
      </c>
      <c r="H37" s="33" t="s">
        <v>14</v>
      </c>
      <c r="I37" s="8">
        <v>2.7000000000000001E-3</v>
      </c>
      <c r="J37" s="8">
        <v>2.7000000000000001E-3</v>
      </c>
      <c r="K37" s="9"/>
      <c r="M37" s="9"/>
      <c r="N37" s="9"/>
      <c r="Q37" s="9"/>
      <c r="R37" s="9"/>
      <c r="S37" s="9"/>
      <c r="T37" s="9"/>
      <c r="U37" s="9"/>
      <c r="X37" s="9"/>
      <c r="Y37" s="9"/>
      <c r="Z37" s="9"/>
      <c r="AB37" s="12"/>
      <c r="AD37" s="12"/>
      <c r="AG37" s="12"/>
      <c r="AH37" s="12"/>
      <c r="AI37" s="12"/>
      <c r="AL37" s="12"/>
      <c r="AN37" s="12"/>
      <c r="AQ37" s="12"/>
      <c r="AR37" s="12"/>
      <c r="AT37" s="12"/>
      <c r="AV37" s="12"/>
      <c r="AW37" s="12"/>
      <c r="AZ37" s="12"/>
      <c r="BB37" s="12"/>
      <c r="BD37" s="12"/>
      <c r="BE37" s="12"/>
      <c r="BF37" s="12"/>
      <c r="BI37" s="12"/>
      <c r="BK37" s="12"/>
      <c r="BO37" s="12"/>
      <c r="BQ37" s="12"/>
      <c r="BS37" s="24"/>
    </row>
    <row r="38" spans="1:75" ht="16" x14ac:dyDescent="0.2">
      <c r="A38" s="6" t="s">
        <v>17</v>
      </c>
      <c r="B38" s="6" t="s">
        <v>11</v>
      </c>
      <c r="C38" s="6" t="s">
        <v>12</v>
      </c>
      <c r="D38" s="6" t="s">
        <v>10</v>
      </c>
      <c r="F38" s="7">
        <v>395</v>
      </c>
      <c r="G38" s="7">
        <v>10</v>
      </c>
      <c r="H38" s="33" t="s">
        <v>15</v>
      </c>
      <c r="I38" s="8">
        <v>0.3</v>
      </c>
      <c r="J38" s="8">
        <v>0.3</v>
      </c>
      <c r="K38" s="9"/>
      <c r="M38" s="9"/>
      <c r="N38" s="9"/>
      <c r="Q38" s="9"/>
      <c r="R38" s="9"/>
      <c r="S38" s="9"/>
      <c r="T38" s="9"/>
      <c r="U38" s="9"/>
      <c r="X38" s="9"/>
      <c r="Y38" s="9"/>
      <c r="Z38" s="9"/>
      <c r="AB38" s="9"/>
      <c r="AD38" s="9"/>
      <c r="AG38" s="9"/>
      <c r="AH38" s="9"/>
      <c r="AI38" s="9"/>
      <c r="AL38" s="9"/>
      <c r="AN38" s="9"/>
      <c r="AQ38" s="9"/>
      <c r="AR38" s="9"/>
      <c r="AT38" s="9"/>
      <c r="AV38" s="9"/>
      <c r="AW38" s="9"/>
      <c r="AZ38" s="9"/>
      <c r="BB38" s="9"/>
      <c r="BD38" s="9"/>
      <c r="BE38" s="9"/>
      <c r="BF38" s="9"/>
      <c r="BI38" s="9"/>
      <c r="BK38" s="9"/>
      <c r="BO38" s="9"/>
      <c r="BQ38" s="9"/>
      <c r="BS38" s="24"/>
    </row>
    <row r="39" spans="1:75" ht="16" x14ac:dyDescent="0.2">
      <c r="A39" s="6" t="s">
        <v>17</v>
      </c>
      <c r="B39" s="6" t="s">
        <v>11</v>
      </c>
      <c r="C39" s="6" t="s">
        <v>12</v>
      </c>
      <c r="D39" s="6" t="s">
        <v>10</v>
      </c>
      <c r="F39" s="7">
        <v>395</v>
      </c>
      <c r="G39" s="7">
        <v>50</v>
      </c>
      <c r="H39" s="33" t="s">
        <v>16</v>
      </c>
      <c r="I39" s="8">
        <v>6.17</v>
      </c>
      <c r="J39" s="8">
        <v>6.17</v>
      </c>
      <c r="K39" s="9"/>
      <c r="M39" s="9"/>
      <c r="N39" s="9"/>
      <c r="Q39" s="9"/>
      <c r="R39" s="9"/>
      <c r="S39" s="9"/>
      <c r="T39" s="9"/>
      <c r="U39" s="9"/>
      <c r="X39" s="9"/>
      <c r="Y39" s="9"/>
      <c r="Z39" s="9"/>
      <c r="AB39" s="9"/>
      <c r="AD39" s="9"/>
      <c r="AG39" s="9"/>
      <c r="AH39" s="9"/>
      <c r="AI39" s="9"/>
      <c r="AL39" s="9"/>
      <c r="AN39" s="9"/>
      <c r="AQ39" s="9"/>
      <c r="AR39" s="9"/>
      <c r="AT39" s="9"/>
      <c r="AV39" s="9"/>
      <c r="AW39" s="9"/>
      <c r="AZ39" s="9"/>
      <c r="BB39" s="9"/>
      <c r="BD39" s="9"/>
      <c r="BE39" s="9"/>
      <c r="BF39" s="12"/>
      <c r="BI39" s="18"/>
      <c r="BK39" s="18"/>
      <c r="BO39" s="18"/>
      <c r="BQ39" s="18"/>
      <c r="BS39" s="24"/>
    </row>
    <row r="40" spans="1:75" ht="16" x14ac:dyDescent="0.2">
      <c r="A40" s="6" t="s">
        <v>17</v>
      </c>
      <c r="B40" s="6" t="s">
        <v>11</v>
      </c>
      <c r="C40" s="6" t="s">
        <v>12</v>
      </c>
      <c r="D40" s="6" t="s">
        <v>10</v>
      </c>
      <c r="F40" s="7">
        <v>395</v>
      </c>
      <c r="G40" s="7">
        <v>90</v>
      </c>
      <c r="H40" s="8">
        <v>10.199999999999999</v>
      </c>
      <c r="I40" s="8">
        <v>10.8</v>
      </c>
      <c r="J40" s="8">
        <v>10.8</v>
      </c>
      <c r="K40" s="9"/>
      <c r="M40" s="9"/>
      <c r="N40" s="9"/>
      <c r="Q40" s="9"/>
      <c r="R40" s="9"/>
      <c r="S40" s="9"/>
      <c r="T40" s="9"/>
      <c r="U40" s="9"/>
      <c r="X40" s="9"/>
      <c r="Y40" s="9"/>
      <c r="Z40" s="9"/>
      <c r="AB40" s="9"/>
      <c r="AD40" s="12"/>
      <c r="AG40" s="9"/>
      <c r="AH40" s="9"/>
      <c r="AI40" s="9"/>
      <c r="AL40" s="9"/>
      <c r="AN40" s="9"/>
      <c r="AQ40" s="9"/>
      <c r="AR40" s="9"/>
      <c r="AT40" s="9"/>
      <c r="AV40" s="9"/>
      <c r="AW40" s="9"/>
      <c r="AZ40" s="9"/>
      <c r="BB40" s="9"/>
      <c r="BD40" s="9"/>
      <c r="BE40" s="9"/>
      <c r="BF40" s="12"/>
      <c r="BI40" s="18"/>
      <c r="BK40" s="18"/>
      <c r="BO40" s="18"/>
      <c r="BQ40" s="18"/>
      <c r="BS40" s="24"/>
    </row>
    <row r="41" spans="1:75" ht="16" x14ac:dyDescent="0.2">
      <c r="A41" s="6" t="s">
        <v>17</v>
      </c>
      <c r="B41" s="6" t="s">
        <v>11</v>
      </c>
      <c r="C41" s="6" t="s">
        <v>12</v>
      </c>
      <c r="D41" s="6" t="s">
        <v>10</v>
      </c>
      <c r="F41" s="7">
        <v>395</v>
      </c>
      <c r="G41" s="7">
        <v>100</v>
      </c>
      <c r="H41" s="8">
        <v>11</v>
      </c>
      <c r="I41" s="8">
        <v>11.7</v>
      </c>
      <c r="J41" s="8">
        <v>11.7</v>
      </c>
      <c r="K41" s="9"/>
      <c r="M41" s="9"/>
      <c r="N41" s="9"/>
      <c r="Q41" s="9"/>
      <c r="R41" s="9"/>
      <c r="S41" s="9"/>
      <c r="T41" s="9"/>
      <c r="U41" s="9"/>
      <c r="X41" s="9"/>
      <c r="Y41" s="9"/>
      <c r="Z41" s="9"/>
      <c r="AB41" s="9"/>
      <c r="AD41" s="9"/>
      <c r="AG41" s="9"/>
      <c r="AH41" s="9"/>
      <c r="AI41" s="9"/>
      <c r="AL41" s="9"/>
      <c r="AN41" s="9"/>
      <c r="AQ41" s="9"/>
      <c r="AR41" s="9"/>
      <c r="AT41" s="9"/>
      <c r="AV41" s="9"/>
      <c r="AW41" s="9"/>
      <c r="AZ41" s="9"/>
      <c r="BB41" s="9"/>
      <c r="BD41" s="9"/>
      <c r="BE41" s="9"/>
      <c r="BF41" s="9"/>
      <c r="BI41" s="21"/>
      <c r="BK41" s="21"/>
      <c r="BO41" s="21"/>
      <c r="BQ41" s="21"/>
      <c r="BS41" s="24"/>
    </row>
    <row r="42" spans="1:75" ht="16" x14ac:dyDescent="0.2">
      <c r="A42" s="6" t="s">
        <v>17</v>
      </c>
      <c r="B42" s="6" t="s">
        <v>11</v>
      </c>
      <c r="C42" s="6" t="s">
        <v>12</v>
      </c>
      <c r="D42" s="6" t="s">
        <v>10</v>
      </c>
      <c r="F42" s="17">
        <v>470</v>
      </c>
      <c r="G42" s="17">
        <v>5</v>
      </c>
      <c r="H42" s="8">
        <v>0.77200000000000002</v>
      </c>
      <c r="I42" s="8">
        <v>0.83099999999999996</v>
      </c>
      <c r="J42" s="8">
        <v>0.83099999999999996</v>
      </c>
      <c r="K42" s="9"/>
      <c r="M42" s="9"/>
      <c r="N42" s="9"/>
      <c r="Q42" s="9"/>
      <c r="R42" s="9"/>
      <c r="S42" s="9"/>
      <c r="T42" s="9"/>
      <c r="U42" s="9"/>
      <c r="X42" s="9"/>
      <c r="Y42" s="9"/>
      <c r="Z42" s="9"/>
      <c r="AB42" s="9"/>
      <c r="AD42" s="9"/>
      <c r="AG42" s="12"/>
      <c r="AH42" s="12"/>
      <c r="AI42" s="12"/>
      <c r="AL42" s="12"/>
      <c r="AN42" s="12"/>
      <c r="AQ42" s="12"/>
      <c r="AR42" s="12"/>
      <c r="AT42" s="12"/>
      <c r="AV42" s="12"/>
      <c r="AW42" s="12"/>
      <c r="AZ42" s="12"/>
      <c r="BB42" s="12"/>
      <c r="BD42" s="12"/>
      <c r="BE42" s="9"/>
      <c r="BF42" s="12"/>
      <c r="BI42" s="12"/>
      <c r="BK42" s="12"/>
      <c r="BO42" s="12"/>
      <c r="BQ42" s="12"/>
      <c r="BS42" s="24"/>
    </row>
    <row r="43" spans="1:75" ht="16" x14ac:dyDescent="0.2">
      <c r="A43" s="6" t="s">
        <v>17</v>
      </c>
      <c r="B43" s="6" t="s">
        <v>11</v>
      </c>
      <c r="C43" s="6" t="s">
        <v>12</v>
      </c>
      <c r="D43" s="6" t="s">
        <v>10</v>
      </c>
      <c r="F43" s="17">
        <v>470</v>
      </c>
      <c r="G43" s="17">
        <v>10</v>
      </c>
      <c r="H43" s="8">
        <v>1.42</v>
      </c>
      <c r="I43" s="8">
        <v>1.54</v>
      </c>
      <c r="J43" s="8">
        <v>1.54</v>
      </c>
      <c r="K43" s="9"/>
      <c r="M43" s="9"/>
      <c r="N43" s="9"/>
      <c r="Q43" s="9"/>
      <c r="R43" s="9"/>
      <c r="S43" s="9"/>
      <c r="T43" s="9"/>
      <c r="U43" s="9"/>
      <c r="X43" s="9"/>
      <c r="Y43" s="9"/>
      <c r="Z43" s="9"/>
      <c r="AB43" s="9"/>
      <c r="AD43" s="9"/>
      <c r="AG43" s="9"/>
      <c r="AH43" s="9"/>
      <c r="AI43" s="9"/>
      <c r="AL43" s="9"/>
      <c r="AN43" s="9"/>
      <c r="AQ43" s="9"/>
      <c r="AR43" s="9"/>
      <c r="AT43" s="9"/>
      <c r="AV43" s="9"/>
      <c r="AW43" s="9"/>
      <c r="AZ43" s="9"/>
      <c r="BB43" s="9"/>
      <c r="BD43" s="9"/>
      <c r="BE43" s="9"/>
      <c r="BF43" s="9"/>
      <c r="BI43" s="9"/>
      <c r="BK43" s="9"/>
      <c r="BO43" s="9"/>
      <c r="BQ43" s="9"/>
      <c r="BS43" s="25"/>
    </row>
    <row r="44" spans="1:75" ht="16" x14ac:dyDescent="0.2">
      <c r="A44" s="6" t="s">
        <v>17</v>
      </c>
      <c r="B44" s="6" t="s">
        <v>11</v>
      </c>
      <c r="C44" s="6" t="s">
        <v>12</v>
      </c>
      <c r="D44" s="6" t="s">
        <v>10</v>
      </c>
      <c r="F44" s="17">
        <v>470</v>
      </c>
      <c r="G44" s="17">
        <v>50</v>
      </c>
      <c r="H44" s="8">
        <v>5.4</v>
      </c>
      <c r="I44" s="8">
        <v>5.81</v>
      </c>
      <c r="J44" s="8">
        <v>5.81</v>
      </c>
      <c r="K44" s="9"/>
      <c r="M44" s="9"/>
      <c r="N44" s="9"/>
      <c r="Q44" s="9"/>
      <c r="R44" s="9"/>
      <c r="S44" s="9"/>
      <c r="T44" s="9"/>
      <c r="U44" s="9"/>
      <c r="X44" s="9"/>
      <c r="Y44" s="9"/>
      <c r="Z44" s="9"/>
      <c r="AB44" s="9"/>
      <c r="AD44" s="9"/>
      <c r="AG44" s="9"/>
      <c r="AH44" s="9"/>
      <c r="AI44" s="9"/>
      <c r="AL44" s="9"/>
      <c r="AN44" s="9"/>
      <c r="AQ44" s="9"/>
      <c r="AR44" s="9"/>
      <c r="AT44" s="9"/>
      <c r="AV44" s="9"/>
      <c r="AW44" s="9"/>
      <c r="AZ44" s="9"/>
      <c r="BB44" s="9"/>
      <c r="BD44" s="9"/>
      <c r="BE44" s="9"/>
      <c r="BF44" s="9"/>
      <c r="BI44" s="9"/>
      <c r="BK44" s="9"/>
      <c r="BO44" s="18"/>
      <c r="BQ44" s="9"/>
      <c r="BS44" s="24"/>
    </row>
    <row r="45" spans="1:75" ht="16" x14ac:dyDescent="0.2">
      <c r="A45" s="6" t="s">
        <v>17</v>
      </c>
      <c r="B45" s="6" t="s">
        <v>11</v>
      </c>
      <c r="C45" s="6" t="s">
        <v>12</v>
      </c>
      <c r="D45" s="6" t="s">
        <v>10</v>
      </c>
      <c r="F45" s="17">
        <v>470</v>
      </c>
      <c r="G45" s="17">
        <v>90</v>
      </c>
      <c r="H45" s="8">
        <v>7.82</v>
      </c>
      <c r="I45" s="8">
        <v>8.51</v>
      </c>
      <c r="J45" s="8">
        <v>8.51</v>
      </c>
      <c r="K45" s="9"/>
      <c r="M45" s="9"/>
      <c r="N45" s="9"/>
      <c r="Q45" s="9"/>
      <c r="R45" s="9"/>
      <c r="S45" s="9"/>
      <c r="T45" s="9"/>
      <c r="U45" s="9"/>
      <c r="X45" s="9"/>
      <c r="Y45" s="9"/>
      <c r="Z45" s="9"/>
      <c r="AB45" s="9"/>
      <c r="AD45" s="9"/>
      <c r="AG45" s="9"/>
      <c r="AH45" s="9"/>
      <c r="AI45" s="9"/>
      <c r="AL45" s="9"/>
      <c r="AN45" s="9"/>
      <c r="AQ45" s="9"/>
      <c r="AR45" s="9"/>
      <c r="AT45" s="9"/>
      <c r="AV45" s="9"/>
      <c r="AW45" s="9"/>
      <c r="AZ45" s="9"/>
      <c r="BB45" s="9"/>
      <c r="BD45" s="9"/>
      <c r="BE45" s="9"/>
      <c r="BF45" s="12"/>
      <c r="BI45" s="9"/>
      <c r="BK45" s="18"/>
      <c r="BO45" s="18"/>
      <c r="BQ45" s="18"/>
      <c r="BS45" s="24"/>
    </row>
    <row r="46" spans="1:75" ht="16" x14ac:dyDescent="0.2">
      <c r="A46" s="6" t="s">
        <v>17</v>
      </c>
      <c r="B46" s="6" t="s">
        <v>11</v>
      </c>
      <c r="C46" s="6" t="s">
        <v>12</v>
      </c>
      <c r="D46" s="6" t="s">
        <v>10</v>
      </c>
      <c r="F46" s="17">
        <v>470</v>
      </c>
      <c r="G46" s="17">
        <v>100</v>
      </c>
      <c r="H46" s="8">
        <v>8.25</v>
      </c>
      <c r="I46" s="8">
        <v>9.0500000000000007</v>
      </c>
      <c r="J46" s="8">
        <v>9.0500000000000007</v>
      </c>
      <c r="K46" s="9"/>
      <c r="M46" s="9"/>
      <c r="N46" s="9"/>
      <c r="Q46" s="9"/>
      <c r="R46" s="9"/>
      <c r="S46" s="9"/>
      <c r="T46" s="9"/>
      <c r="U46" s="9"/>
      <c r="X46" s="9"/>
      <c r="Y46" s="9"/>
      <c r="Z46" s="9"/>
      <c r="AB46" s="9"/>
      <c r="AD46" s="9"/>
      <c r="AG46" s="9"/>
      <c r="AH46" s="9"/>
      <c r="AI46" s="9"/>
      <c r="AL46" s="9"/>
      <c r="AN46" s="9"/>
      <c r="AQ46" s="9"/>
      <c r="AR46" s="9"/>
      <c r="AT46" s="9"/>
      <c r="AV46" s="9"/>
      <c r="AW46" s="9"/>
      <c r="AZ46" s="9"/>
      <c r="BB46" s="9"/>
      <c r="BD46" s="9"/>
      <c r="BE46" s="9"/>
      <c r="BF46" s="9"/>
      <c r="BI46" s="21"/>
      <c r="BK46" s="21"/>
      <c r="BO46" s="21"/>
      <c r="BQ46" s="21"/>
      <c r="BS46" s="24"/>
    </row>
    <row r="47" spans="1:75" ht="15.75" customHeight="1" x14ac:dyDescent="0.2">
      <c r="A47" s="6" t="s">
        <v>7</v>
      </c>
      <c r="B47" s="6" t="s">
        <v>40</v>
      </c>
      <c r="C47" s="6" t="s">
        <v>40</v>
      </c>
      <c r="D47" s="6" t="s">
        <v>40</v>
      </c>
      <c r="E47">
        <v>561</v>
      </c>
      <c r="G47" s="1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5"/>
  <sheetViews>
    <sheetView zoomScale="115" workbookViewId="0">
      <pane ySplit="1" topLeftCell="A12" activePane="bottomLeft" state="frozen"/>
      <selection pane="bottomLeft" activeCell="C55" sqref="C55"/>
    </sheetView>
  </sheetViews>
  <sheetFormatPr baseColWidth="10" defaultColWidth="12.6640625" defaultRowHeight="15.75" customHeight="1" x14ac:dyDescent="0.15"/>
  <cols>
    <col min="4" max="4" width="20.83203125" customWidth="1"/>
    <col min="9" max="9" width="11" bestFit="1" customWidth="1"/>
    <col min="10" max="10" width="18" bestFit="1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31">
        <v>20150101</v>
      </c>
      <c r="H1" s="31">
        <v>20131212</v>
      </c>
      <c r="I1" s="31" t="s">
        <v>36</v>
      </c>
      <c r="J1" s="31" t="s">
        <v>37</v>
      </c>
    </row>
    <row r="2" spans="1:10" ht="15.75" customHeight="1" x14ac:dyDescent="0.15">
      <c r="A2" s="32" t="s">
        <v>7</v>
      </c>
      <c r="B2" s="32" t="s">
        <v>20</v>
      </c>
      <c r="C2" s="32" t="s">
        <v>21</v>
      </c>
      <c r="D2" s="32" t="s">
        <v>22</v>
      </c>
      <c r="E2" s="32" t="s">
        <v>23</v>
      </c>
      <c r="F2" s="32" t="s">
        <v>24</v>
      </c>
      <c r="G2" s="6">
        <v>200</v>
      </c>
      <c r="H2" s="6"/>
      <c r="I2" s="32">
        <f>G2/2</f>
        <v>100</v>
      </c>
      <c r="J2">
        <f>G2*2</f>
        <v>400</v>
      </c>
    </row>
    <row r="3" spans="1:10" ht="15.75" customHeight="1" x14ac:dyDescent="0.15">
      <c r="A3" s="32" t="s">
        <v>7</v>
      </c>
      <c r="B3" s="32" t="s">
        <v>20</v>
      </c>
      <c r="C3" s="32" t="s">
        <v>21</v>
      </c>
      <c r="D3" s="32" t="s">
        <v>22</v>
      </c>
      <c r="E3" s="32" t="s">
        <v>23</v>
      </c>
      <c r="F3" s="32" t="s">
        <v>25</v>
      </c>
      <c r="G3" s="6">
        <v>200</v>
      </c>
      <c r="H3" s="6"/>
      <c r="I3" s="32">
        <f t="shared" ref="I3:I28" si="0">G3/2</f>
        <v>100</v>
      </c>
      <c r="J3">
        <f t="shared" ref="J3:J28" si="1">G3*2</f>
        <v>400</v>
      </c>
    </row>
    <row r="4" spans="1:10" ht="15.75" customHeight="1" x14ac:dyDescent="0.15">
      <c r="A4" s="32" t="s">
        <v>7</v>
      </c>
      <c r="B4" s="32" t="s">
        <v>20</v>
      </c>
      <c r="C4" s="32" t="s">
        <v>21</v>
      </c>
      <c r="D4" s="32" t="s">
        <v>22</v>
      </c>
      <c r="E4" s="32" t="s">
        <v>23</v>
      </c>
      <c r="F4" s="32" t="s">
        <v>26</v>
      </c>
      <c r="G4" s="6">
        <v>500</v>
      </c>
      <c r="H4" s="6"/>
      <c r="I4" s="32">
        <f t="shared" si="0"/>
        <v>250</v>
      </c>
      <c r="J4">
        <f t="shared" si="1"/>
        <v>1000</v>
      </c>
    </row>
    <row r="5" spans="1:10" ht="15.75" customHeight="1" x14ac:dyDescent="0.15">
      <c r="A5" s="32" t="s">
        <v>7</v>
      </c>
      <c r="B5" s="32" t="s">
        <v>20</v>
      </c>
      <c r="C5" s="32" t="s">
        <v>21</v>
      </c>
      <c r="D5" s="32" t="s">
        <v>22</v>
      </c>
      <c r="E5" s="32" t="s">
        <v>27</v>
      </c>
      <c r="F5" s="32" t="s">
        <v>24</v>
      </c>
      <c r="G5" s="6">
        <v>200</v>
      </c>
      <c r="H5" s="6"/>
      <c r="I5" s="32">
        <f t="shared" si="0"/>
        <v>100</v>
      </c>
      <c r="J5">
        <f t="shared" si="1"/>
        <v>400</v>
      </c>
    </row>
    <row r="6" spans="1:10" ht="15.75" customHeight="1" x14ac:dyDescent="0.15">
      <c r="A6" s="32" t="s">
        <v>7</v>
      </c>
      <c r="B6" s="32" t="s">
        <v>20</v>
      </c>
      <c r="C6" s="32" t="s">
        <v>21</v>
      </c>
      <c r="D6" s="32" t="s">
        <v>22</v>
      </c>
      <c r="E6" s="32" t="s">
        <v>27</v>
      </c>
      <c r="F6" s="32" t="s">
        <v>25</v>
      </c>
      <c r="G6" s="6">
        <v>200</v>
      </c>
      <c r="H6" s="6"/>
      <c r="I6" s="32">
        <f t="shared" si="0"/>
        <v>100</v>
      </c>
      <c r="J6">
        <f t="shared" si="1"/>
        <v>400</v>
      </c>
    </row>
    <row r="7" spans="1:10" ht="15.75" customHeight="1" x14ac:dyDescent="0.15">
      <c r="A7" s="32" t="s">
        <v>7</v>
      </c>
      <c r="B7" s="32" t="s">
        <v>20</v>
      </c>
      <c r="C7" s="32" t="s">
        <v>21</v>
      </c>
      <c r="D7" s="32" t="s">
        <v>22</v>
      </c>
      <c r="E7" s="32" t="s">
        <v>27</v>
      </c>
      <c r="F7" s="32" t="s">
        <v>26</v>
      </c>
      <c r="G7" s="6">
        <v>500</v>
      </c>
      <c r="H7" s="6"/>
      <c r="I7" s="32">
        <f t="shared" si="0"/>
        <v>250</v>
      </c>
      <c r="J7">
        <f t="shared" si="1"/>
        <v>1000</v>
      </c>
    </row>
    <row r="8" spans="1:10" ht="15.75" customHeight="1" x14ac:dyDescent="0.15">
      <c r="A8" s="32" t="s">
        <v>7</v>
      </c>
      <c r="B8" s="32" t="s">
        <v>20</v>
      </c>
      <c r="C8" s="32" t="s">
        <v>21</v>
      </c>
      <c r="D8" s="32" t="s">
        <v>22</v>
      </c>
      <c r="E8" s="32" t="s">
        <v>28</v>
      </c>
      <c r="F8" s="32" t="s">
        <v>24</v>
      </c>
      <c r="G8" s="6">
        <v>200</v>
      </c>
      <c r="H8" s="6"/>
      <c r="I8" s="32">
        <f t="shared" si="0"/>
        <v>100</v>
      </c>
      <c r="J8">
        <f t="shared" si="1"/>
        <v>400</v>
      </c>
    </row>
    <row r="9" spans="1:10" ht="15.75" customHeight="1" x14ac:dyDescent="0.15">
      <c r="A9" s="32" t="s">
        <v>7</v>
      </c>
      <c r="B9" s="32" t="s">
        <v>20</v>
      </c>
      <c r="C9" s="32" t="s">
        <v>21</v>
      </c>
      <c r="D9" s="32" t="s">
        <v>22</v>
      </c>
      <c r="E9" s="32" t="s">
        <v>28</v>
      </c>
      <c r="F9" s="32" t="s">
        <v>25</v>
      </c>
      <c r="G9" s="6">
        <v>200</v>
      </c>
      <c r="H9" s="6"/>
      <c r="I9" s="32">
        <f t="shared" si="0"/>
        <v>100</v>
      </c>
      <c r="J9">
        <f t="shared" si="1"/>
        <v>400</v>
      </c>
    </row>
    <row r="10" spans="1:10" ht="15.75" customHeight="1" x14ac:dyDescent="0.15">
      <c r="A10" s="32" t="s">
        <v>7</v>
      </c>
      <c r="B10" s="32" t="s">
        <v>20</v>
      </c>
      <c r="C10" s="32" t="s">
        <v>21</v>
      </c>
      <c r="D10" s="32" t="s">
        <v>22</v>
      </c>
      <c r="E10" s="32" t="s">
        <v>28</v>
      </c>
      <c r="F10" s="32" t="s">
        <v>26</v>
      </c>
      <c r="G10" s="6">
        <v>500</v>
      </c>
      <c r="H10" s="6"/>
      <c r="I10" s="32">
        <f t="shared" si="0"/>
        <v>250</v>
      </c>
      <c r="J10">
        <f t="shared" si="1"/>
        <v>1000</v>
      </c>
    </row>
    <row r="11" spans="1:10" ht="15.75" customHeight="1" x14ac:dyDescent="0.15">
      <c r="A11" s="32" t="s">
        <v>7</v>
      </c>
      <c r="B11" s="32" t="s">
        <v>20</v>
      </c>
      <c r="C11" s="32" t="s">
        <v>21</v>
      </c>
      <c r="D11" s="32" t="s">
        <v>22</v>
      </c>
      <c r="E11" s="32" t="s">
        <v>29</v>
      </c>
      <c r="F11" s="32" t="s">
        <v>24</v>
      </c>
      <c r="G11" s="6">
        <v>200</v>
      </c>
      <c r="H11" s="6"/>
      <c r="I11" s="32">
        <f t="shared" si="0"/>
        <v>100</v>
      </c>
      <c r="J11">
        <f t="shared" si="1"/>
        <v>400</v>
      </c>
    </row>
    <row r="12" spans="1:10" ht="15.75" customHeight="1" x14ac:dyDescent="0.15">
      <c r="A12" s="32" t="s">
        <v>7</v>
      </c>
      <c r="B12" s="32" t="s">
        <v>20</v>
      </c>
      <c r="C12" s="32" t="s">
        <v>21</v>
      </c>
      <c r="D12" s="32" t="s">
        <v>22</v>
      </c>
      <c r="E12" s="32" t="s">
        <v>29</v>
      </c>
      <c r="F12" s="32" t="s">
        <v>25</v>
      </c>
      <c r="G12" s="6">
        <v>200</v>
      </c>
      <c r="H12" s="6"/>
      <c r="I12" s="32">
        <f t="shared" si="0"/>
        <v>100</v>
      </c>
      <c r="J12">
        <f t="shared" si="1"/>
        <v>400</v>
      </c>
    </row>
    <row r="13" spans="1:10" ht="15.75" customHeight="1" x14ac:dyDescent="0.15">
      <c r="A13" s="32" t="s">
        <v>7</v>
      </c>
      <c r="B13" s="32" t="s">
        <v>20</v>
      </c>
      <c r="C13" s="32" t="s">
        <v>21</v>
      </c>
      <c r="D13" s="32" t="s">
        <v>22</v>
      </c>
      <c r="E13" s="32" t="s">
        <v>29</v>
      </c>
      <c r="F13" s="32" t="s">
        <v>26</v>
      </c>
      <c r="G13" s="6">
        <v>500</v>
      </c>
      <c r="H13" s="6"/>
      <c r="I13" s="32">
        <f t="shared" si="0"/>
        <v>250</v>
      </c>
      <c r="J13">
        <f t="shared" si="1"/>
        <v>1000</v>
      </c>
    </row>
    <row r="14" spans="1:10" ht="15.75" customHeight="1" x14ac:dyDescent="0.15">
      <c r="A14" s="32" t="s">
        <v>17</v>
      </c>
      <c r="B14" s="32" t="s">
        <v>20</v>
      </c>
      <c r="C14" s="32" t="s">
        <v>21</v>
      </c>
      <c r="D14" s="32" t="s">
        <v>30</v>
      </c>
      <c r="E14" s="32" t="s">
        <v>23</v>
      </c>
      <c r="F14" s="32" t="s">
        <v>24</v>
      </c>
      <c r="G14" s="6">
        <v>200</v>
      </c>
      <c r="H14" s="6">
        <v>200</v>
      </c>
      <c r="I14" s="32">
        <f t="shared" si="0"/>
        <v>100</v>
      </c>
      <c r="J14">
        <f t="shared" si="1"/>
        <v>400</v>
      </c>
    </row>
    <row r="15" spans="1:10" ht="15.75" customHeight="1" x14ac:dyDescent="0.15">
      <c r="A15" s="32" t="s">
        <v>17</v>
      </c>
      <c r="B15" s="32" t="s">
        <v>20</v>
      </c>
      <c r="C15" s="32" t="s">
        <v>21</v>
      </c>
      <c r="D15" s="32" t="s">
        <v>30</v>
      </c>
      <c r="E15" s="32" t="s">
        <v>23</v>
      </c>
      <c r="F15" s="32" t="s">
        <v>25</v>
      </c>
      <c r="G15" s="6">
        <v>200</v>
      </c>
      <c r="H15" s="6">
        <v>200</v>
      </c>
      <c r="I15" s="32">
        <f t="shared" si="0"/>
        <v>100</v>
      </c>
      <c r="J15">
        <f t="shared" si="1"/>
        <v>400</v>
      </c>
    </row>
    <row r="16" spans="1:10" ht="15.75" customHeight="1" x14ac:dyDescent="0.15">
      <c r="A16" s="32" t="s">
        <v>17</v>
      </c>
      <c r="B16" s="32" t="s">
        <v>20</v>
      </c>
      <c r="C16" s="32" t="s">
        <v>21</v>
      </c>
      <c r="D16" s="32" t="s">
        <v>30</v>
      </c>
      <c r="E16" s="32" t="s">
        <v>23</v>
      </c>
      <c r="F16" s="32" t="s">
        <v>26</v>
      </c>
      <c r="G16" s="6">
        <v>500</v>
      </c>
      <c r="H16" s="6">
        <v>500</v>
      </c>
      <c r="I16" s="32">
        <f t="shared" si="0"/>
        <v>250</v>
      </c>
      <c r="J16">
        <f t="shared" si="1"/>
        <v>1000</v>
      </c>
    </row>
    <row r="17" spans="1:10" ht="15.75" customHeight="1" x14ac:dyDescent="0.15">
      <c r="A17" s="32" t="s">
        <v>17</v>
      </c>
      <c r="B17" s="32" t="s">
        <v>20</v>
      </c>
      <c r="C17" s="32" t="s">
        <v>21</v>
      </c>
      <c r="D17" s="32" t="s">
        <v>30</v>
      </c>
      <c r="E17" s="32" t="s">
        <v>27</v>
      </c>
      <c r="F17" s="32" t="s">
        <v>24</v>
      </c>
      <c r="G17" s="6">
        <v>200</v>
      </c>
      <c r="H17" s="6">
        <v>200</v>
      </c>
      <c r="I17" s="32">
        <f t="shared" si="0"/>
        <v>100</v>
      </c>
      <c r="J17">
        <f t="shared" si="1"/>
        <v>400</v>
      </c>
    </row>
    <row r="18" spans="1:10" ht="15.75" customHeight="1" x14ac:dyDescent="0.15">
      <c r="A18" s="32" t="s">
        <v>17</v>
      </c>
      <c r="B18" s="32" t="s">
        <v>20</v>
      </c>
      <c r="C18" s="32" t="s">
        <v>21</v>
      </c>
      <c r="D18" s="32" t="s">
        <v>30</v>
      </c>
      <c r="E18" s="32" t="s">
        <v>27</v>
      </c>
      <c r="F18" s="32" t="s">
        <v>25</v>
      </c>
      <c r="G18" s="6">
        <v>200</v>
      </c>
      <c r="H18" s="6">
        <v>200</v>
      </c>
      <c r="I18" s="32">
        <f t="shared" si="0"/>
        <v>100</v>
      </c>
      <c r="J18">
        <f t="shared" si="1"/>
        <v>400</v>
      </c>
    </row>
    <row r="19" spans="1:10" ht="15.75" customHeight="1" x14ac:dyDescent="0.15">
      <c r="A19" s="32" t="s">
        <v>17</v>
      </c>
      <c r="B19" s="32" t="s">
        <v>20</v>
      </c>
      <c r="C19" s="32" t="s">
        <v>21</v>
      </c>
      <c r="D19" s="32" t="s">
        <v>30</v>
      </c>
      <c r="E19" s="32" t="s">
        <v>27</v>
      </c>
      <c r="F19" s="32" t="s">
        <v>26</v>
      </c>
      <c r="G19" s="6">
        <v>500</v>
      </c>
      <c r="H19" s="6">
        <v>500</v>
      </c>
      <c r="I19" s="32">
        <f t="shared" si="0"/>
        <v>250</v>
      </c>
      <c r="J19">
        <f t="shared" si="1"/>
        <v>1000</v>
      </c>
    </row>
    <row r="20" spans="1:10" ht="15.75" customHeight="1" x14ac:dyDescent="0.15">
      <c r="A20" s="32" t="s">
        <v>17</v>
      </c>
      <c r="B20" s="32" t="s">
        <v>20</v>
      </c>
      <c r="C20" s="32" t="s">
        <v>21</v>
      </c>
      <c r="D20" s="32" t="s">
        <v>30</v>
      </c>
      <c r="E20" s="32" t="s">
        <v>28</v>
      </c>
      <c r="F20" s="32" t="s">
        <v>24</v>
      </c>
      <c r="G20" s="6">
        <v>200</v>
      </c>
      <c r="H20" s="6">
        <v>200</v>
      </c>
      <c r="I20" s="32">
        <f t="shared" si="0"/>
        <v>100</v>
      </c>
      <c r="J20">
        <f t="shared" si="1"/>
        <v>400</v>
      </c>
    </row>
    <row r="21" spans="1:10" ht="15.75" customHeight="1" x14ac:dyDescent="0.15">
      <c r="A21" s="32" t="s">
        <v>17</v>
      </c>
      <c r="B21" s="32" t="s">
        <v>20</v>
      </c>
      <c r="C21" s="32" t="s">
        <v>21</v>
      </c>
      <c r="D21" s="32" t="s">
        <v>30</v>
      </c>
      <c r="E21" s="32" t="s">
        <v>28</v>
      </c>
      <c r="F21" s="32" t="s">
        <v>25</v>
      </c>
      <c r="G21" s="6">
        <v>200</v>
      </c>
      <c r="H21" s="6">
        <v>200</v>
      </c>
      <c r="I21" s="32">
        <f t="shared" si="0"/>
        <v>100</v>
      </c>
      <c r="J21">
        <f t="shared" si="1"/>
        <v>400</v>
      </c>
    </row>
    <row r="22" spans="1:10" ht="15.75" customHeight="1" x14ac:dyDescent="0.15">
      <c r="A22" s="32" t="s">
        <v>17</v>
      </c>
      <c r="B22" s="32" t="s">
        <v>20</v>
      </c>
      <c r="C22" s="32" t="s">
        <v>21</v>
      </c>
      <c r="D22" s="32" t="s">
        <v>30</v>
      </c>
      <c r="E22" s="32" t="s">
        <v>28</v>
      </c>
      <c r="F22" s="32" t="s">
        <v>26</v>
      </c>
      <c r="G22" s="6">
        <v>500</v>
      </c>
      <c r="H22" s="6">
        <v>500</v>
      </c>
      <c r="I22" s="32">
        <f t="shared" si="0"/>
        <v>250</v>
      </c>
      <c r="J22">
        <f t="shared" si="1"/>
        <v>1000</v>
      </c>
    </row>
    <row r="23" spans="1:10" ht="15.75" customHeight="1" x14ac:dyDescent="0.15">
      <c r="A23" s="32" t="s">
        <v>17</v>
      </c>
      <c r="B23" s="32" t="s">
        <v>20</v>
      </c>
      <c r="C23" s="32" t="s">
        <v>21</v>
      </c>
      <c r="D23" s="32" t="s">
        <v>30</v>
      </c>
      <c r="E23" s="32" t="s">
        <v>29</v>
      </c>
      <c r="F23" s="32" t="s">
        <v>24</v>
      </c>
      <c r="G23" s="6">
        <v>200</v>
      </c>
      <c r="H23" s="6">
        <v>200</v>
      </c>
      <c r="I23" s="32">
        <f t="shared" si="0"/>
        <v>100</v>
      </c>
      <c r="J23">
        <f t="shared" si="1"/>
        <v>400</v>
      </c>
    </row>
    <row r="24" spans="1:10" ht="15.75" customHeight="1" x14ac:dyDescent="0.15">
      <c r="A24" s="32" t="s">
        <v>17</v>
      </c>
      <c r="B24" s="32" t="s">
        <v>20</v>
      </c>
      <c r="C24" s="32" t="s">
        <v>21</v>
      </c>
      <c r="D24" s="32" t="s">
        <v>30</v>
      </c>
      <c r="E24" s="32" t="s">
        <v>29</v>
      </c>
      <c r="F24" s="32" t="s">
        <v>25</v>
      </c>
      <c r="G24" s="6">
        <v>200</v>
      </c>
      <c r="H24" s="6">
        <v>200</v>
      </c>
      <c r="I24" s="32">
        <f t="shared" si="0"/>
        <v>100</v>
      </c>
      <c r="J24">
        <f t="shared" si="1"/>
        <v>400</v>
      </c>
    </row>
    <row r="25" spans="1:10" ht="15.75" customHeight="1" x14ac:dyDescent="0.15">
      <c r="A25" s="32" t="s">
        <v>17</v>
      </c>
      <c r="B25" s="32" t="s">
        <v>31</v>
      </c>
      <c r="C25" s="32" t="s">
        <v>21</v>
      </c>
      <c r="D25" s="32" t="s">
        <v>30</v>
      </c>
      <c r="E25" s="32" t="s">
        <v>29</v>
      </c>
      <c r="F25" s="32" t="s">
        <v>26</v>
      </c>
      <c r="G25" s="6">
        <v>500</v>
      </c>
      <c r="H25" s="6"/>
      <c r="I25" s="32">
        <f t="shared" si="0"/>
        <v>250</v>
      </c>
      <c r="J25">
        <f t="shared" si="1"/>
        <v>1000</v>
      </c>
    </row>
    <row r="26" spans="1:10" ht="15.75" customHeight="1" x14ac:dyDescent="0.15">
      <c r="A26" s="32" t="s">
        <v>17</v>
      </c>
      <c r="B26" s="32" t="s">
        <v>32</v>
      </c>
      <c r="C26" s="32" t="s">
        <v>33</v>
      </c>
      <c r="D26" s="32" t="s">
        <v>30</v>
      </c>
      <c r="E26" s="32" t="s">
        <v>29</v>
      </c>
      <c r="F26" s="32" t="s">
        <v>26</v>
      </c>
      <c r="G26" s="6">
        <v>500</v>
      </c>
      <c r="H26" s="6"/>
      <c r="I26" s="32">
        <f t="shared" si="0"/>
        <v>250</v>
      </c>
      <c r="J26">
        <f t="shared" si="1"/>
        <v>1000</v>
      </c>
    </row>
    <row r="27" spans="1:10" ht="15.75" customHeight="1" x14ac:dyDescent="0.15">
      <c r="A27" s="32" t="s">
        <v>17</v>
      </c>
      <c r="B27" s="32" t="s">
        <v>34</v>
      </c>
      <c r="C27" s="32" t="s">
        <v>21</v>
      </c>
      <c r="D27" s="32" t="s">
        <v>30</v>
      </c>
      <c r="E27" s="32" t="s">
        <v>29</v>
      </c>
      <c r="F27" s="32" t="s">
        <v>26</v>
      </c>
      <c r="G27" s="6">
        <v>500</v>
      </c>
      <c r="H27" s="6"/>
      <c r="I27" s="32">
        <f t="shared" si="0"/>
        <v>250</v>
      </c>
      <c r="J27">
        <f t="shared" si="1"/>
        <v>1000</v>
      </c>
    </row>
    <row r="28" spans="1:10" ht="15.75" customHeight="1" x14ac:dyDescent="0.15">
      <c r="A28" s="32" t="s">
        <v>17</v>
      </c>
      <c r="B28" s="32" t="s">
        <v>35</v>
      </c>
      <c r="C28" s="32" t="s">
        <v>21</v>
      </c>
      <c r="D28" s="32" t="s">
        <v>30</v>
      </c>
      <c r="E28" s="32" t="s">
        <v>29</v>
      </c>
      <c r="F28" s="32" t="s">
        <v>26</v>
      </c>
      <c r="G28" s="6">
        <v>500</v>
      </c>
      <c r="H28" s="6"/>
      <c r="I28" s="32">
        <f t="shared" si="0"/>
        <v>250</v>
      </c>
      <c r="J28">
        <f t="shared" si="1"/>
        <v>1000</v>
      </c>
    </row>
    <row r="29" spans="1:10" ht="15.75" customHeight="1" x14ac:dyDescent="0.15">
      <c r="A29" s="24" t="s">
        <v>7</v>
      </c>
      <c r="B29" s="24" t="s">
        <v>20</v>
      </c>
      <c r="C29" s="24" t="s">
        <v>77</v>
      </c>
      <c r="D29" s="24" t="s">
        <v>41</v>
      </c>
      <c r="E29" s="24" t="s">
        <v>28</v>
      </c>
      <c r="F29" s="24" t="s">
        <v>24</v>
      </c>
      <c r="G29" s="24"/>
      <c r="H29" s="24">
        <v>651</v>
      </c>
      <c r="I29" s="24">
        <v>651</v>
      </c>
      <c r="J29" s="24"/>
    </row>
    <row r="30" spans="1:10" ht="15.75" customHeight="1" x14ac:dyDescent="0.15">
      <c r="A30" s="24" t="s">
        <v>7</v>
      </c>
      <c r="B30" s="24" t="s">
        <v>20</v>
      </c>
      <c r="C30" s="24" t="s">
        <v>77</v>
      </c>
      <c r="D30" s="24" t="s">
        <v>41</v>
      </c>
      <c r="E30" s="24" t="s">
        <v>28</v>
      </c>
      <c r="F30" s="24" t="s">
        <v>25</v>
      </c>
      <c r="G30" s="24"/>
      <c r="H30" s="24">
        <v>643.20000000000005</v>
      </c>
      <c r="I30" s="24">
        <v>643.20000000000005</v>
      </c>
      <c r="J30" s="24"/>
    </row>
    <row r="31" spans="1:10" ht="15.75" customHeight="1" x14ac:dyDescent="0.15">
      <c r="A31" s="24" t="s">
        <v>7</v>
      </c>
      <c r="B31" s="24" t="s">
        <v>20</v>
      </c>
      <c r="C31" s="24" t="s">
        <v>77</v>
      </c>
      <c r="D31" s="24" t="s">
        <v>41</v>
      </c>
      <c r="E31" s="24" t="s">
        <v>28</v>
      </c>
      <c r="F31" s="24" t="s">
        <v>26</v>
      </c>
      <c r="G31" s="24"/>
      <c r="H31" s="24">
        <v>859.8</v>
      </c>
      <c r="I31" s="24">
        <v>859.8</v>
      </c>
      <c r="J31" s="24"/>
    </row>
    <row r="32" spans="1:10" ht="15.75" customHeight="1" x14ac:dyDescent="0.15">
      <c r="A32" s="24" t="s">
        <v>7</v>
      </c>
      <c r="B32" s="24" t="s">
        <v>20</v>
      </c>
      <c r="C32" s="24" t="s">
        <v>77</v>
      </c>
      <c r="D32" s="24" t="s">
        <v>41</v>
      </c>
      <c r="E32" s="24" t="s">
        <v>28</v>
      </c>
      <c r="F32" s="24" t="s">
        <v>42</v>
      </c>
      <c r="G32" s="24"/>
      <c r="H32" s="24">
        <v>-1.2</v>
      </c>
      <c r="I32" s="24">
        <v>-1.2</v>
      </c>
      <c r="J32" s="24"/>
    </row>
    <row r="33" spans="1:10" ht="15.75" customHeight="1" x14ac:dyDescent="0.15">
      <c r="A33" s="24" t="s">
        <v>7</v>
      </c>
      <c r="B33" s="24" t="s">
        <v>20</v>
      </c>
      <c r="C33" s="24" t="s">
        <v>77</v>
      </c>
      <c r="D33" s="24" t="s">
        <v>41</v>
      </c>
      <c r="E33" s="24" t="s">
        <v>28</v>
      </c>
      <c r="F33" s="24" t="s">
        <v>43</v>
      </c>
      <c r="G33" s="24"/>
      <c r="H33" s="24">
        <v>-2.2000000000000002</v>
      </c>
      <c r="I33" s="24">
        <v>-2.2000000000000002</v>
      </c>
      <c r="J33" s="24"/>
    </row>
    <row r="34" spans="1:10" ht="15.75" customHeight="1" x14ac:dyDescent="0.15">
      <c r="A34" s="24" t="s">
        <v>7</v>
      </c>
      <c r="B34" s="24" t="s">
        <v>20</v>
      </c>
      <c r="C34" s="24" t="s">
        <v>77</v>
      </c>
      <c r="D34" s="24" t="s">
        <v>41</v>
      </c>
      <c r="E34" s="24" t="s">
        <v>28</v>
      </c>
      <c r="F34" s="24" t="s">
        <v>44</v>
      </c>
      <c r="G34" s="24"/>
      <c r="H34" s="24">
        <v>6.2</v>
      </c>
      <c r="I34" s="24">
        <v>6.2</v>
      </c>
      <c r="J34" s="24"/>
    </row>
    <row r="35" spans="1:10" ht="15.75" customHeight="1" x14ac:dyDescent="0.15">
      <c r="A35" s="24" t="s">
        <v>7</v>
      </c>
      <c r="B35" s="24" t="s">
        <v>20</v>
      </c>
      <c r="C35" s="24" t="s">
        <v>77</v>
      </c>
      <c r="D35" s="24" t="s">
        <v>41</v>
      </c>
      <c r="E35" s="24" t="s">
        <v>29</v>
      </c>
      <c r="F35" s="24" t="s">
        <v>24</v>
      </c>
      <c r="G35" s="24"/>
      <c r="H35" s="24">
        <v>911.3</v>
      </c>
      <c r="I35" s="24">
        <v>911.3</v>
      </c>
      <c r="J35" s="24">
        <v>651</v>
      </c>
    </row>
    <row r="36" spans="1:10" ht="15.75" customHeight="1" x14ac:dyDescent="0.15">
      <c r="A36" s="24" t="s">
        <v>7</v>
      </c>
      <c r="B36" s="24" t="s">
        <v>20</v>
      </c>
      <c r="C36" s="24" t="s">
        <v>77</v>
      </c>
      <c r="D36" s="24" t="s">
        <v>41</v>
      </c>
      <c r="E36" s="24" t="s">
        <v>29</v>
      </c>
      <c r="F36" s="24" t="s">
        <v>25</v>
      </c>
      <c r="G36" s="24"/>
      <c r="H36" s="24">
        <v>852.2</v>
      </c>
      <c r="I36" s="24">
        <v>852.2</v>
      </c>
      <c r="J36" s="24">
        <v>643.20000000000005</v>
      </c>
    </row>
    <row r="37" spans="1:10" ht="15.75" customHeight="1" x14ac:dyDescent="0.15">
      <c r="A37" s="24" t="s">
        <v>7</v>
      </c>
      <c r="B37" s="24" t="s">
        <v>20</v>
      </c>
      <c r="C37" s="24" t="s">
        <v>77</v>
      </c>
      <c r="D37" s="24" t="s">
        <v>41</v>
      </c>
      <c r="E37" s="24" t="s">
        <v>29</v>
      </c>
      <c r="F37" s="24" t="s">
        <v>26</v>
      </c>
      <c r="G37" s="24"/>
      <c r="H37" s="24">
        <v>1259.5</v>
      </c>
      <c r="I37" s="24">
        <v>1259.5</v>
      </c>
      <c r="J37" s="24">
        <v>859.8</v>
      </c>
    </row>
    <row r="38" spans="1:10" ht="15.75" customHeight="1" x14ac:dyDescent="0.15">
      <c r="A38" s="24" t="s">
        <v>7</v>
      </c>
      <c r="B38" s="24" t="s">
        <v>20</v>
      </c>
      <c r="C38" s="24" t="s">
        <v>77</v>
      </c>
      <c r="D38" s="24" t="s">
        <v>41</v>
      </c>
      <c r="E38" s="24" t="s">
        <v>29</v>
      </c>
      <c r="F38" s="24" t="s">
        <v>42</v>
      </c>
      <c r="G38" s="24"/>
      <c r="H38" s="24" t="s">
        <v>45</v>
      </c>
      <c r="I38" s="24" t="s">
        <v>45</v>
      </c>
      <c r="J38" s="24">
        <v>-1.2</v>
      </c>
    </row>
    <row r="39" spans="1:10" ht="15.75" customHeight="1" x14ac:dyDescent="0.15">
      <c r="A39" s="24" t="s">
        <v>7</v>
      </c>
      <c r="B39" s="24" t="s">
        <v>20</v>
      </c>
      <c r="C39" s="24" t="s">
        <v>77</v>
      </c>
      <c r="D39" s="24" t="s">
        <v>41</v>
      </c>
      <c r="E39" s="24" t="s">
        <v>29</v>
      </c>
      <c r="F39" s="24" t="s">
        <v>43</v>
      </c>
      <c r="G39" s="24"/>
      <c r="H39" s="24" t="s">
        <v>46</v>
      </c>
      <c r="I39" s="24" t="s">
        <v>46</v>
      </c>
      <c r="J39" s="24">
        <v>-2.2000000000000002</v>
      </c>
    </row>
    <row r="40" spans="1:10" ht="15.75" customHeight="1" x14ac:dyDescent="0.15">
      <c r="A40" s="24" t="s">
        <v>7</v>
      </c>
      <c r="B40" s="24" t="s">
        <v>20</v>
      </c>
      <c r="C40" s="24" t="s">
        <v>77</v>
      </c>
      <c r="D40" s="24" t="s">
        <v>41</v>
      </c>
      <c r="E40" s="24" t="s">
        <v>29</v>
      </c>
      <c r="F40" s="24" t="s">
        <v>44</v>
      </c>
      <c r="G40" s="24"/>
      <c r="H40" s="24" t="s">
        <v>47</v>
      </c>
      <c r="I40" s="24" t="s">
        <v>47</v>
      </c>
      <c r="J40" s="24">
        <v>6.2</v>
      </c>
    </row>
    <row r="41" spans="1:10" ht="15.75" customHeight="1" x14ac:dyDescent="0.15">
      <c r="A41" s="24" t="s">
        <v>7</v>
      </c>
      <c r="B41" s="24" t="s">
        <v>20</v>
      </c>
      <c r="C41" s="24" t="s">
        <v>77</v>
      </c>
      <c r="D41" s="24" t="s">
        <v>41</v>
      </c>
      <c r="E41" s="24" t="s">
        <v>23</v>
      </c>
      <c r="F41" s="24" t="s">
        <v>24</v>
      </c>
      <c r="G41" s="24"/>
      <c r="H41" s="24">
        <v>897.7</v>
      </c>
      <c r="I41" s="24">
        <v>897.7</v>
      </c>
      <c r="J41" s="24">
        <v>911.3</v>
      </c>
    </row>
    <row r="42" spans="1:10" ht="15.75" customHeight="1" x14ac:dyDescent="0.15">
      <c r="A42" s="24" t="s">
        <v>7</v>
      </c>
      <c r="B42" s="24" t="s">
        <v>20</v>
      </c>
      <c r="C42" s="24" t="s">
        <v>77</v>
      </c>
      <c r="D42" s="24" t="s">
        <v>41</v>
      </c>
      <c r="E42" s="24" t="s">
        <v>23</v>
      </c>
      <c r="F42" s="24" t="s">
        <v>25</v>
      </c>
      <c r="G42" s="24"/>
      <c r="H42" s="24">
        <v>953.5</v>
      </c>
      <c r="I42" s="24">
        <v>953.5</v>
      </c>
      <c r="J42" s="24">
        <v>852.2</v>
      </c>
    </row>
    <row r="43" spans="1:10" ht="15.75" customHeight="1" x14ac:dyDescent="0.15">
      <c r="A43" s="24" t="s">
        <v>7</v>
      </c>
      <c r="B43" s="24" t="s">
        <v>20</v>
      </c>
      <c r="C43" s="24" t="s">
        <v>77</v>
      </c>
      <c r="D43" s="24" t="s">
        <v>41</v>
      </c>
      <c r="E43" s="24" t="s">
        <v>23</v>
      </c>
      <c r="F43" s="24" t="s">
        <v>26</v>
      </c>
      <c r="G43" s="24"/>
      <c r="H43" s="24">
        <v>1142.5</v>
      </c>
      <c r="I43" s="24">
        <v>1142.5</v>
      </c>
      <c r="J43" s="24">
        <v>1259.5</v>
      </c>
    </row>
    <row r="44" spans="1:10" ht="15.75" customHeight="1" x14ac:dyDescent="0.15">
      <c r="A44" s="24" t="s">
        <v>7</v>
      </c>
      <c r="B44" s="24" t="s">
        <v>20</v>
      </c>
      <c r="C44" s="24" t="s">
        <v>77</v>
      </c>
      <c r="D44" s="24" t="s">
        <v>41</v>
      </c>
      <c r="E44" s="24" t="s">
        <v>23</v>
      </c>
      <c r="F44" s="24" t="s">
        <v>42</v>
      </c>
      <c r="G44" s="24"/>
      <c r="H44" s="24">
        <v>-0.8</v>
      </c>
      <c r="I44" s="24">
        <v>-0.8</v>
      </c>
      <c r="J44" s="24" t="s">
        <v>45</v>
      </c>
    </row>
    <row r="45" spans="1:10" ht="15.75" customHeight="1" x14ac:dyDescent="0.15">
      <c r="A45" s="24" t="s">
        <v>7</v>
      </c>
      <c r="B45" s="24" t="s">
        <v>20</v>
      </c>
      <c r="C45" s="24" t="s">
        <v>77</v>
      </c>
      <c r="D45" s="24" t="s">
        <v>41</v>
      </c>
      <c r="E45" s="24" t="s">
        <v>23</v>
      </c>
      <c r="F45" s="24" t="s">
        <v>43</v>
      </c>
      <c r="G45" s="24"/>
      <c r="H45" s="24">
        <v>-4.8</v>
      </c>
      <c r="I45" s="24">
        <v>-4.8</v>
      </c>
      <c r="J45" s="24" t="s">
        <v>46</v>
      </c>
    </row>
    <row r="46" spans="1:10" ht="15.75" customHeight="1" x14ac:dyDescent="0.15">
      <c r="A46" s="24" t="s">
        <v>7</v>
      </c>
      <c r="B46" s="24" t="s">
        <v>20</v>
      </c>
      <c r="C46" s="24" t="s">
        <v>77</v>
      </c>
      <c r="D46" s="24" t="s">
        <v>41</v>
      </c>
      <c r="E46" s="24" t="s">
        <v>23</v>
      </c>
      <c r="F46" s="24" t="s">
        <v>44</v>
      </c>
      <c r="G46" s="24"/>
      <c r="H46" s="24">
        <v>4.8</v>
      </c>
      <c r="I46" s="24">
        <v>4.8</v>
      </c>
      <c r="J46" s="24" t="s">
        <v>47</v>
      </c>
    </row>
    <row r="47" spans="1:10" ht="15.75" customHeight="1" x14ac:dyDescent="0.15">
      <c r="A47" s="24" t="s">
        <v>7</v>
      </c>
      <c r="B47" s="24" t="s">
        <v>20</v>
      </c>
      <c r="C47" s="24" t="s">
        <v>77</v>
      </c>
      <c r="D47" s="24" t="s">
        <v>41</v>
      </c>
      <c r="E47" s="24" t="s">
        <v>27</v>
      </c>
      <c r="F47" s="24" t="s">
        <v>24</v>
      </c>
      <c r="G47" s="24"/>
      <c r="H47" s="24">
        <v>823.2</v>
      </c>
      <c r="I47" s="24">
        <v>823.2</v>
      </c>
      <c r="J47" s="24">
        <v>897.7</v>
      </c>
    </row>
    <row r="48" spans="1:10" ht="15.75" customHeight="1" x14ac:dyDescent="0.15">
      <c r="A48" s="24" t="s">
        <v>7</v>
      </c>
      <c r="B48" s="24" t="s">
        <v>20</v>
      </c>
      <c r="C48" s="24" t="s">
        <v>77</v>
      </c>
      <c r="D48" s="24" t="s">
        <v>41</v>
      </c>
      <c r="E48" s="24" t="s">
        <v>27</v>
      </c>
      <c r="F48" s="24" t="s">
        <v>25</v>
      </c>
      <c r="G48" s="24"/>
      <c r="H48" s="24">
        <v>876.5</v>
      </c>
      <c r="I48" s="24">
        <v>876.5</v>
      </c>
      <c r="J48" s="24">
        <v>953.5</v>
      </c>
    </row>
    <row r="49" spans="1:10" ht="15.75" customHeight="1" x14ac:dyDescent="0.15">
      <c r="A49" s="24" t="s">
        <v>7</v>
      </c>
      <c r="B49" s="24" t="s">
        <v>20</v>
      </c>
      <c r="C49" s="24" t="s">
        <v>77</v>
      </c>
      <c r="D49" s="24" t="s">
        <v>41</v>
      </c>
      <c r="E49" s="24" t="s">
        <v>27</v>
      </c>
      <c r="F49" s="24" t="s">
        <v>26</v>
      </c>
      <c r="G49" s="24"/>
      <c r="H49" s="24">
        <v>1020.5</v>
      </c>
      <c r="I49" s="24">
        <v>1020.5</v>
      </c>
      <c r="J49" s="24">
        <v>1142.5</v>
      </c>
    </row>
    <row r="50" spans="1:10" ht="15.75" customHeight="1" x14ac:dyDescent="0.15">
      <c r="A50" s="24" t="s">
        <v>7</v>
      </c>
      <c r="B50" s="24" t="s">
        <v>20</v>
      </c>
      <c r="C50" s="24" t="s">
        <v>77</v>
      </c>
      <c r="D50" s="24" t="s">
        <v>41</v>
      </c>
      <c r="E50" s="24" t="s">
        <v>27</v>
      </c>
      <c r="F50" s="24" t="s">
        <v>42</v>
      </c>
      <c r="G50" s="24"/>
      <c r="H50" s="24">
        <v>0.8</v>
      </c>
      <c r="I50" s="24">
        <v>0.8</v>
      </c>
      <c r="J50" s="24">
        <v>-0.8</v>
      </c>
    </row>
    <row r="51" spans="1:10" ht="15.75" customHeight="1" x14ac:dyDescent="0.15">
      <c r="A51" s="24" t="s">
        <v>7</v>
      </c>
      <c r="B51" s="24" t="s">
        <v>20</v>
      </c>
      <c r="C51" s="24" t="s">
        <v>77</v>
      </c>
      <c r="D51" s="24" t="s">
        <v>41</v>
      </c>
      <c r="E51" s="24" t="s">
        <v>27</v>
      </c>
      <c r="F51" s="24" t="s">
        <v>43</v>
      </c>
      <c r="G51" s="24"/>
      <c r="H51" s="24">
        <v>-3.2</v>
      </c>
      <c r="I51" s="24">
        <v>-3.2</v>
      </c>
      <c r="J51" s="24">
        <v>-4.8</v>
      </c>
    </row>
    <row r="52" spans="1:10" ht="15.75" customHeight="1" x14ac:dyDescent="0.15">
      <c r="A52" s="24" t="s">
        <v>7</v>
      </c>
      <c r="B52" s="24" t="s">
        <v>20</v>
      </c>
      <c r="C52" s="24" t="s">
        <v>77</v>
      </c>
      <c r="D52" s="24" t="s">
        <v>41</v>
      </c>
      <c r="E52" s="24" t="s">
        <v>27</v>
      </c>
      <c r="F52" s="24" t="s">
        <v>44</v>
      </c>
      <c r="G52" s="24"/>
      <c r="H52" s="24">
        <v>4</v>
      </c>
      <c r="I52" s="24">
        <v>4</v>
      </c>
      <c r="J52" s="24">
        <v>4.8</v>
      </c>
    </row>
    <row r="53" spans="1:10" ht="15.75" customHeight="1" x14ac:dyDescent="0.15">
      <c r="A53" s="24" t="s">
        <v>7</v>
      </c>
      <c r="B53" s="24" t="s">
        <v>20</v>
      </c>
      <c r="C53" s="24" t="s">
        <v>61</v>
      </c>
      <c r="D53" s="24" t="s">
        <v>41</v>
      </c>
      <c r="E53" s="24" t="s">
        <v>27</v>
      </c>
      <c r="F53" s="24" t="s">
        <v>42</v>
      </c>
      <c r="G53" s="24"/>
      <c r="H53" s="24">
        <v>0.8</v>
      </c>
      <c r="I53" s="24">
        <v>0.8</v>
      </c>
      <c r="J53" s="24">
        <v>-0.8</v>
      </c>
    </row>
    <row r="54" spans="1:10" ht="15.75" customHeight="1" x14ac:dyDescent="0.15">
      <c r="A54" s="24" t="s">
        <v>7</v>
      </c>
      <c r="B54" s="24" t="s">
        <v>20</v>
      </c>
      <c r="C54" s="24" t="s">
        <v>61</v>
      </c>
      <c r="D54" s="24" t="s">
        <v>41</v>
      </c>
      <c r="E54" s="24" t="s">
        <v>27</v>
      </c>
      <c r="F54" s="24" t="s">
        <v>43</v>
      </c>
      <c r="G54" s="24"/>
      <c r="H54" s="24">
        <v>-3.2</v>
      </c>
      <c r="I54" s="24">
        <v>-3.2</v>
      </c>
      <c r="J54" s="24">
        <v>-4.8</v>
      </c>
    </row>
    <row r="55" spans="1:10" ht="15.75" customHeight="1" x14ac:dyDescent="0.15">
      <c r="A55" s="24" t="s">
        <v>7</v>
      </c>
      <c r="B55" s="24" t="s">
        <v>20</v>
      </c>
      <c r="C55" s="24" t="s">
        <v>90</v>
      </c>
      <c r="D55" s="24" t="s">
        <v>41</v>
      </c>
      <c r="E55" s="24" t="s">
        <v>27</v>
      </c>
      <c r="F55" s="24" t="s">
        <v>44</v>
      </c>
      <c r="G55" s="24"/>
      <c r="H55" s="24">
        <v>4</v>
      </c>
      <c r="I55" s="24">
        <v>4</v>
      </c>
      <c r="J55" s="24">
        <v>4.8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278A-16E7-1B4C-AB14-E4151DDE9509}">
  <dimension ref="A1:I11"/>
  <sheetViews>
    <sheetView tabSelected="1" zoomScale="107" workbookViewId="0">
      <selection activeCell="G4" sqref="G4"/>
    </sheetView>
  </sheetViews>
  <sheetFormatPr baseColWidth="10" defaultRowHeight="13" x14ac:dyDescent="0.15"/>
  <cols>
    <col min="1" max="1" width="12" bestFit="1" customWidth="1"/>
    <col min="2" max="2" width="15.5" bestFit="1" customWidth="1"/>
    <col min="3" max="3" width="9" bestFit="1" customWidth="1"/>
    <col min="4" max="4" width="12" bestFit="1" customWidth="1"/>
    <col min="5" max="5" width="12" customWidth="1"/>
    <col min="6" max="6" width="13" bestFit="1" customWidth="1"/>
  </cols>
  <sheetData>
    <row r="1" spans="1:9" s="35" customFormat="1" x14ac:dyDescent="0.15">
      <c r="A1" s="35" t="s">
        <v>0</v>
      </c>
      <c r="B1" s="35" t="s">
        <v>1</v>
      </c>
      <c r="C1" s="35" t="s">
        <v>2</v>
      </c>
      <c r="D1" s="35" t="s">
        <v>3</v>
      </c>
      <c r="E1" s="35" t="s">
        <v>18</v>
      </c>
      <c r="F1" s="24">
        <v>20260101</v>
      </c>
      <c r="G1" s="24">
        <v>20260109</v>
      </c>
      <c r="H1" s="24">
        <v>20260120</v>
      </c>
      <c r="I1" s="24">
        <v>20260104</v>
      </c>
    </row>
    <row r="2" spans="1:9" x14ac:dyDescent="0.15">
      <c r="A2" s="24" t="s">
        <v>17</v>
      </c>
      <c r="B2" s="24" t="s">
        <v>91</v>
      </c>
      <c r="C2" s="24" t="s">
        <v>92</v>
      </c>
      <c r="D2" s="24" t="s">
        <v>93</v>
      </c>
      <c r="E2" s="24">
        <v>488</v>
      </c>
      <c r="F2" s="24" t="s">
        <v>94</v>
      </c>
      <c r="G2" s="24" t="s">
        <v>94</v>
      </c>
      <c r="H2" s="24" t="s">
        <v>94</v>
      </c>
      <c r="I2" s="24"/>
    </row>
    <row r="3" spans="1:9" x14ac:dyDescent="0.15">
      <c r="A3" s="24" t="s">
        <v>17</v>
      </c>
      <c r="B3" s="24" t="s">
        <v>91</v>
      </c>
      <c r="C3" s="24" t="s">
        <v>92</v>
      </c>
      <c r="D3" s="24" t="s">
        <v>93</v>
      </c>
      <c r="E3" s="24">
        <v>561</v>
      </c>
      <c r="F3" s="24" t="s">
        <v>95</v>
      </c>
      <c r="G3" s="24" t="s">
        <v>95</v>
      </c>
      <c r="H3" s="24" t="s">
        <v>95</v>
      </c>
      <c r="I3" s="24"/>
    </row>
    <row r="4" spans="1:9" x14ac:dyDescent="0.15">
      <c r="A4" s="24" t="s">
        <v>17</v>
      </c>
      <c r="B4" s="24" t="s">
        <v>91</v>
      </c>
      <c r="C4" s="24" t="s">
        <v>92</v>
      </c>
      <c r="D4" s="24" t="s">
        <v>93</v>
      </c>
      <c r="E4" s="24" t="s">
        <v>96</v>
      </c>
      <c r="F4" s="24" t="s">
        <v>97</v>
      </c>
      <c r="G4" s="24" t="s">
        <v>97</v>
      </c>
      <c r="H4" s="24" t="s">
        <v>97</v>
      </c>
      <c r="I4" s="24"/>
    </row>
    <row r="5" spans="1:9" x14ac:dyDescent="0.15">
      <c r="A5" s="24" t="s">
        <v>17</v>
      </c>
      <c r="B5" s="24" t="s">
        <v>91</v>
      </c>
      <c r="C5" s="24" t="s">
        <v>92</v>
      </c>
      <c r="D5" s="24" t="s">
        <v>93</v>
      </c>
      <c r="E5" s="24" t="s">
        <v>23</v>
      </c>
      <c r="F5" s="24" t="s">
        <v>98</v>
      </c>
      <c r="G5" s="24" t="s">
        <v>98</v>
      </c>
      <c r="H5" s="24" t="s">
        <v>98</v>
      </c>
    </row>
    <row r="6" spans="1:9" x14ac:dyDescent="0.15">
      <c r="A6" s="24" t="s">
        <v>7</v>
      </c>
      <c r="B6" s="24" t="s">
        <v>91</v>
      </c>
      <c r="C6" s="24" t="s">
        <v>92</v>
      </c>
      <c r="D6" s="24" t="s">
        <v>93</v>
      </c>
      <c r="E6" s="24">
        <v>488</v>
      </c>
    </row>
    <row r="7" spans="1:9" x14ac:dyDescent="0.15">
      <c r="A7" s="24" t="s">
        <v>7</v>
      </c>
      <c r="B7" s="24" t="s">
        <v>91</v>
      </c>
      <c r="C7" s="24" t="s">
        <v>92</v>
      </c>
      <c r="D7" s="24" t="s">
        <v>93</v>
      </c>
      <c r="E7" s="24">
        <v>561</v>
      </c>
    </row>
    <row r="8" spans="1:9" x14ac:dyDescent="0.15">
      <c r="A8" s="24" t="s">
        <v>7</v>
      </c>
      <c r="B8" s="24" t="s">
        <v>107</v>
      </c>
      <c r="C8" s="24" t="s">
        <v>92</v>
      </c>
      <c r="D8" s="24" t="s">
        <v>93</v>
      </c>
      <c r="E8" s="24" t="s">
        <v>23</v>
      </c>
    </row>
    <row r="9" spans="1:9" x14ac:dyDescent="0.15">
      <c r="A9" s="24" t="s">
        <v>7</v>
      </c>
      <c r="B9" s="24" t="s">
        <v>107</v>
      </c>
      <c r="C9" s="24" t="s">
        <v>104</v>
      </c>
      <c r="D9" s="24" t="s">
        <v>93</v>
      </c>
      <c r="E9" s="24" t="s">
        <v>23</v>
      </c>
    </row>
    <row r="10" spans="1:9" x14ac:dyDescent="0.15">
      <c r="A10" s="24" t="s">
        <v>7</v>
      </c>
      <c r="B10" s="24" t="s">
        <v>107</v>
      </c>
      <c r="C10" s="24" t="s">
        <v>103</v>
      </c>
      <c r="D10" s="24" t="s">
        <v>93</v>
      </c>
      <c r="E10" s="24" t="s">
        <v>23</v>
      </c>
    </row>
    <row r="11" spans="1:9" x14ac:dyDescent="0.15">
      <c r="A11" s="24" t="s">
        <v>7</v>
      </c>
      <c r="B11" s="24" t="s">
        <v>107</v>
      </c>
      <c r="C11" s="24" t="s">
        <v>108</v>
      </c>
      <c r="D11" s="24" t="s">
        <v>93</v>
      </c>
      <c r="E11" s="24" t="s">
        <v>23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0132-BF50-F94C-A1BF-4428E785A278}">
  <dimension ref="A1:AB12"/>
  <sheetViews>
    <sheetView workbookViewId="0">
      <pane ySplit="1" topLeftCell="A2" activePane="bottomLeft" state="frozen"/>
      <selection pane="bottomLeft" activeCell="A10" sqref="A10"/>
    </sheetView>
  </sheetViews>
  <sheetFormatPr baseColWidth="10" defaultRowHeight="13" x14ac:dyDescent="0.15"/>
  <cols>
    <col min="1" max="1" width="5.1640625" bestFit="1" customWidth="1"/>
    <col min="2" max="2" width="12.6640625" bestFit="1" customWidth="1"/>
    <col min="3" max="3" width="17.1640625" bestFit="1" customWidth="1"/>
    <col min="4" max="4" width="5.1640625" bestFit="1" customWidth="1"/>
    <col min="5" max="5" width="10.6640625" bestFit="1" customWidth="1"/>
    <col min="6" max="6" width="19.6640625" bestFit="1" customWidth="1"/>
    <col min="7" max="7" width="28.5" bestFit="1" customWidth="1"/>
    <col min="8" max="8" width="7.6640625" bestFit="1" customWidth="1"/>
    <col min="9" max="9" width="11" bestFit="1" customWidth="1"/>
    <col min="10" max="10" width="22" bestFit="1" customWidth="1"/>
    <col min="11" max="11" width="17.1640625" bestFit="1" customWidth="1"/>
    <col min="12" max="12" width="12.5" bestFit="1" customWidth="1"/>
    <col min="13" max="13" width="17.5" bestFit="1" customWidth="1"/>
  </cols>
  <sheetData>
    <row r="1" spans="1:28" ht="21" x14ac:dyDescent="0.25">
      <c r="A1" s="34" t="s">
        <v>48</v>
      </c>
      <c r="B1" s="34" t="s">
        <v>49</v>
      </c>
      <c r="C1" s="34" t="s">
        <v>50</v>
      </c>
      <c r="D1" s="34" t="s">
        <v>51</v>
      </c>
      <c r="E1" s="34" t="s">
        <v>52</v>
      </c>
      <c r="F1" s="34" t="s">
        <v>53</v>
      </c>
      <c r="G1" s="34" t="s">
        <v>54</v>
      </c>
      <c r="H1" s="34" t="s">
        <v>55</v>
      </c>
      <c r="I1" s="34" t="s">
        <v>56</v>
      </c>
      <c r="J1" s="34" t="s">
        <v>57</v>
      </c>
      <c r="K1" s="34" t="s">
        <v>58</v>
      </c>
      <c r="L1" s="34" t="s">
        <v>59</v>
      </c>
      <c r="M1" s="34" t="s">
        <v>60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16" x14ac:dyDescent="0.2">
      <c r="A2" s="15" t="s">
        <v>61</v>
      </c>
      <c r="B2" s="15" t="s">
        <v>62</v>
      </c>
      <c r="C2" s="15" t="s">
        <v>63</v>
      </c>
      <c r="D2" s="15">
        <v>0.2</v>
      </c>
      <c r="E2" s="15" t="s">
        <v>64</v>
      </c>
      <c r="F2" s="15">
        <v>1</v>
      </c>
      <c r="G2" s="15">
        <v>20</v>
      </c>
      <c r="H2" s="15" t="s">
        <v>65</v>
      </c>
      <c r="I2" s="15" t="s">
        <v>66</v>
      </c>
      <c r="J2" s="15" t="s">
        <v>67</v>
      </c>
      <c r="K2" s="15" t="s">
        <v>68</v>
      </c>
      <c r="L2" s="15" t="s">
        <v>69</v>
      </c>
      <c r="M2" s="15">
        <v>201906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16" x14ac:dyDescent="0.2">
      <c r="A3" s="15" t="s">
        <v>104</v>
      </c>
      <c r="B3" s="15" t="s">
        <v>62</v>
      </c>
      <c r="C3" s="15" t="s">
        <v>70</v>
      </c>
      <c r="D3" s="15">
        <v>0.45</v>
      </c>
      <c r="E3" s="15" t="s">
        <v>64</v>
      </c>
      <c r="F3" s="15">
        <v>1</v>
      </c>
      <c r="G3" s="15">
        <v>4</v>
      </c>
      <c r="H3" s="15" t="s">
        <v>65</v>
      </c>
      <c r="I3" s="15" t="s">
        <v>66</v>
      </c>
      <c r="J3" s="15" t="s">
        <v>67</v>
      </c>
      <c r="K3" s="15" t="s">
        <v>68</v>
      </c>
      <c r="L3" s="15" t="s">
        <v>71</v>
      </c>
      <c r="M3" s="15">
        <v>201906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 ht="16" x14ac:dyDescent="0.2">
      <c r="A4" s="15" t="s">
        <v>105</v>
      </c>
      <c r="B4" s="15" t="s">
        <v>62</v>
      </c>
      <c r="C4" s="15" t="s">
        <v>72</v>
      </c>
      <c r="D4" s="15">
        <v>0.75</v>
      </c>
      <c r="E4" s="15" t="s">
        <v>64</v>
      </c>
      <c r="F4" s="15">
        <v>1</v>
      </c>
      <c r="G4" s="15">
        <v>1</v>
      </c>
      <c r="H4" s="15" t="s">
        <v>65</v>
      </c>
      <c r="I4" s="15" t="s">
        <v>66</v>
      </c>
      <c r="J4" s="15" t="s">
        <v>67</v>
      </c>
      <c r="K4" s="15" t="s">
        <v>68</v>
      </c>
      <c r="L4" s="15" t="s">
        <v>73</v>
      </c>
      <c r="M4" s="15">
        <v>201906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16" x14ac:dyDescent="0.2">
      <c r="A5" s="15" t="s">
        <v>106</v>
      </c>
      <c r="B5" s="15" t="s">
        <v>62</v>
      </c>
      <c r="C5" s="15" t="s">
        <v>74</v>
      </c>
      <c r="D5" s="15">
        <v>0.95</v>
      </c>
      <c r="E5" s="15" t="s">
        <v>64</v>
      </c>
      <c r="F5" s="15">
        <v>1</v>
      </c>
      <c r="G5" s="15" t="s">
        <v>75</v>
      </c>
      <c r="H5" s="15" t="s">
        <v>65</v>
      </c>
      <c r="I5" s="15" t="s">
        <v>66</v>
      </c>
      <c r="J5" s="15" t="s">
        <v>67</v>
      </c>
      <c r="K5" s="15" t="s">
        <v>68</v>
      </c>
      <c r="L5" s="15" t="s">
        <v>76</v>
      </c>
      <c r="M5" s="15">
        <v>201906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16" x14ac:dyDescent="0.2">
      <c r="A6" s="15" t="s">
        <v>77</v>
      </c>
      <c r="B6" s="15" t="s">
        <v>62</v>
      </c>
      <c r="C6" s="15" t="s">
        <v>78</v>
      </c>
      <c r="D6" s="15">
        <v>1.45</v>
      </c>
      <c r="E6" s="15" t="s">
        <v>79</v>
      </c>
      <c r="F6" s="15">
        <v>1.518</v>
      </c>
      <c r="G6" s="15">
        <v>0.13</v>
      </c>
      <c r="H6" s="15" t="s">
        <v>80</v>
      </c>
      <c r="I6" s="15" t="s">
        <v>89</v>
      </c>
      <c r="J6" s="15" t="s">
        <v>81</v>
      </c>
      <c r="K6" s="15" t="s">
        <v>68</v>
      </c>
      <c r="L6" s="15" t="s">
        <v>82</v>
      </c>
      <c r="M6" s="15">
        <v>201808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8" ht="16" x14ac:dyDescent="0.2">
      <c r="A7" s="15" t="s">
        <v>83</v>
      </c>
      <c r="B7" s="15" t="s">
        <v>62</v>
      </c>
      <c r="C7" s="15" t="s">
        <v>84</v>
      </c>
      <c r="D7" s="15">
        <v>1.4</v>
      </c>
      <c r="E7" s="15" t="s">
        <v>79</v>
      </c>
      <c r="F7" s="15">
        <v>1.518</v>
      </c>
      <c r="G7" s="15">
        <v>0.13</v>
      </c>
      <c r="H7" s="15" t="s">
        <v>85</v>
      </c>
      <c r="I7" s="15" t="s">
        <v>86</v>
      </c>
      <c r="J7" s="15" t="s">
        <v>87</v>
      </c>
      <c r="K7" s="15" t="s">
        <v>68</v>
      </c>
      <c r="L7" s="15" t="s">
        <v>88</v>
      </c>
      <c r="M7" s="15">
        <v>202007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8" ht="16" x14ac:dyDescent="0.2">
      <c r="A8" s="15" t="s">
        <v>101</v>
      </c>
      <c r="B8" s="15" t="s">
        <v>62</v>
      </c>
      <c r="C8" s="15" t="s">
        <v>63</v>
      </c>
      <c r="D8" s="15">
        <v>0.2</v>
      </c>
      <c r="E8" s="15" t="s">
        <v>64</v>
      </c>
      <c r="F8" s="15">
        <v>1</v>
      </c>
      <c r="G8" s="15">
        <v>20</v>
      </c>
      <c r="H8" s="15" t="s">
        <v>65</v>
      </c>
      <c r="I8" s="15" t="s">
        <v>66</v>
      </c>
      <c r="J8" s="15" t="s">
        <v>67</v>
      </c>
      <c r="K8" s="15" t="s">
        <v>68</v>
      </c>
      <c r="L8" s="15" t="s">
        <v>69</v>
      </c>
      <c r="M8" s="15">
        <v>201906</v>
      </c>
    </row>
    <row r="9" spans="1:28" ht="16" x14ac:dyDescent="0.2">
      <c r="A9" s="15" t="s">
        <v>102</v>
      </c>
      <c r="B9" s="15" t="s">
        <v>62</v>
      </c>
      <c r="C9" s="15" t="s">
        <v>70</v>
      </c>
      <c r="D9" s="15">
        <v>0.45</v>
      </c>
      <c r="E9" s="15" t="s">
        <v>64</v>
      </c>
      <c r="F9" s="15">
        <v>1</v>
      </c>
      <c r="G9" s="15">
        <v>4</v>
      </c>
      <c r="H9" s="15" t="s">
        <v>65</v>
      </c>
      <c r="I9" s="15" t="s">
        <v>66</v>
      </c>
      <c r="J9" s="15" t="s">
        <v>67</v>
      </c>
      <c r="K9" s="15" t="s">
        <v>68</v>
      </c>
      <c r="L9" s="15" t="s">
        <v>71</v>
      </c>
      <c r="M9" s="15">
        <v>201906</v>
      </c>
    </row>
    <row r="10" spans="1:28" ht="16" x14ac:dyDescent="0.2">
      <c r="A10" s="15" t="s">
        <v>103</v>
      </c>
      <c r="B10" s="15" t="s">
        <v>62</v>
      </c>
      <c r="C10" s="15" t="s">
        <v>72</v>
      </c>
      <c r="D10" s="15">
        <v>0.75</v>
      </c>
      <c r="E10" s="15" t="s">
        <v>64</v>
      </c>
      <c r="F10" s="15">
        <v>1</v>
      </c>
      <c r="G10" s="15">
        <v>1</v>
      </c>
      <c r="H10" s="15" t="s">
        <v>65</v>
      </c>
      <c r="I10" s="15" t="s">
        <v>66</v>
      </c>
      <c r="J10" s="15" t="s">
        <v>67</v>
      </c>
      <c r="K10" s="15" t="s">
        <v>68</v>
      </c>
      <c r="L10" s="15" t="s">
        <v>73</v>
      </c>
      <c r="M10" s="15">
        <v>201906</v>
      </c>
    </row>
    <row r="11" spans="1:28" ht="16" x14ac:dyDescent="0.2">
      <c r="A11" s="15" t="s">
        <v>100</v>
      </c>
      <c r="B11" s="15" t="s">
        <v>62</v>
      </c>
      <c r="C11" s="15" t="s">
        <v>74</v>
      </c>
      <c r="D11" s="15">
        <v>0.95</v>
      </c>
      <c r="E11" s="15" t="s">
        <v>64</v>
      </c>
      <c r="F11" s="15">
        <v>1</v>
      </c>
      <c r="G11" s="15" t="s">
        <v>75</v>
      </c>
      <c r="H11" s="15" t="s">
        <v>65</v>
      </c>
      <c r="I11" s="15" t="s">
        <v>66</v>
      </c>
      <c r="J11" s="15" t="s">
        <v>67</v>
      </c>
      <c r="K11" s="15" t="s">
        <v>68</v>
      </c>
      <c r="L11" s="15" t="s">
        <v>76</v>
      </c>
      <c r="M11" s="15">
        <v>201906</v>
      </c>
    </row>
    <row r="12" spans="1:28" ht="16" x14ac:dyDescent="0.2">
      <c r="A12" s="15" t="s">
        <v>99</v>
      </c>
      <c r="B12" s="15" t="s">
        <v>62</v>
      </c>
      <c r="C12" s="15" t="s">
        <v>78</v>
      </c>
      <c r="D12" s="15">
        <v>1.45</v>
      </c>
      <c r="E12" s="15" t="s">
        <v>79</v>
      </c>
      <c r="F12" s="15">
        <v>1.518</v>
      </c>
      <c r="G12" s="15">
        <v>0.13</v>
      </c>
      <c r="H12" s="15" t="s">
        <v>80</v>
      </c>
      <c r="I12" s="15" t="s">
        <v>89</v>
      </c>
      <c r="J12" s="15" t="s">
        <v>81</v>
      </c>
      <c r="K12" s="15" t="s">
        <v>68</v>
      </c>
      <c r="L12" s="15" t="s">
        <v>82</v>
      </c>
      <c r="M12" s="15">
        <v>201808</v>
      </c>
    </row>
  </sheetData>
  <phoneticPr fontId="1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laser_power_measurements</vt:lpstr>
      <vt:lpstr>psf_measurements</vt:lpstr>
      <vt:lpstr>field_dist_uni</vt:lpstr>
      <vt:lpstr>objective_db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</cp:lastModifiedBy>
  <dcterms:modified xsi:type="dcterms:W3CDTF">2026-09-01T11:23:19Z</dcterms:modified>
</cp:coreProperties>
</file>